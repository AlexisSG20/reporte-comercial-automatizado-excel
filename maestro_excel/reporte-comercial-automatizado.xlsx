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reporte-comercial-automatizado-excel\maestro_excel\"/>
    </mc:Choice>
  </mc:AlternateContent>
  <xr:revisionPtr revIDLastSave="0" documentId="13_ncr:1_{28C78A5D-049C-4785-BB19-95E854DB9062}" xr6:coauthVersionLast="47" xr6:coauthVersionMax="47" xr10:uidLastSave="{00000000-0000-0000-0000-000000000000}"/>
  <bookViews>
    <workbookView xWindow="-108" yWindow="-108" windowWidth="23256" windowHeight="12576" activeTab="3" xr2:uid="{4B74968D-6D0C-4C35-A8AA-8D46E0BE1E07}"/>
  </bookViews>
  <sheets>
    <sheet name="Datos_Limpios" sheetId="2" r:id="rId1"/>
    <sheet name="Parametros" sheetId="1" r:id="rId2"/>
    <sheet name="Analisis" sheetId="3" r:id="rId3"/>
    <sheet name="Dashboard" sheetId="4" r:id="rId4"/>
  </sheets>
  <definedNames>
    <definedName name="DatosExternos_1" localSheetId="0" hidden="1">Datos_Limpios!$A$1:$M$901</definedName>
    <definedName name="SegmentaciónDeDatos_Categoria">#N/A</definedName>
    <definedName name="SegmentaciónDeDatos_Medio_de_Pago">#N/A</definedName>
    <definedName name="SegmentaciónDeDatos_Sed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4" l="1"/>
  <c r="G4" i="4"/>
  <c r="E4" i="4"/>
  <c r="C4" i="4"/>
  <c r="A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50B64-6352-4905-AB3C-20A1EB06FD13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70AB25A9-FE1A-4C6C-BD4C-956B46EB880A}" keepAlive="1" name="Consulta - archivos_fuente" description="Conexión a la consulta 'archivos_fuente' en el libro." type="5" refreshedVersion="7" background="1" saveData="1">
    <dbPr connection="Provider=Microsoft.Mashup.OleDb.1;Data Source=$Workbook$;Location=archivos_fuente;Extended Properties=&quot;&quot;" command="SELECT * FROM [archivos_fuente]"/>
  </connection>
  <connection id="3" xr16:uid="{1EF7BB79-2551-4F3C-8475-DF3362985D8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0BF51BE6-9202-4803-86BC-C2C8E18CDE55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F09CF548-AC38-41F2-9659-C47C16162863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<sst xmlns="http://schemas.openxmlformats.org/spreadsheetml/2006/main" count="7293" uniqueCount="139">
  <si>
    <t>Archivo Origen</t>
  </si>
  <si>
    <t>Fecha</t>
  </si>
  <si>
    <t>Sede</t>
  </si>
  <si>
    <t>Código Producto</t>
  </si>
  <si>
    <t>Producto</t>
  </si>
  <si>
    <t>Categoria</t>
  </si>
  <si>
    <t>Vendedor</t>
  </si>
  <si>
    <t>Cliente</t>
  </si>
  <si>
    <t>Cantidad</t>
  </si>
  <si>
    <t>Precio Unitario</t>
  </si>
  <si>
    <t>Descuento</t>
  </si>
  <si>
    <t>Total Venta</t>
  </si>
  <si>
    <t>Medio de Pago</t>
  </si>
  <si>
    <t>ventas_arequipa_ene.xlsx</t>
  </si>
  <si>
    <t>Arequipa</t>
  </si>
  <si>
    <t>BEL002</t>
  </si>
  <si>
    <t>Crema Facial</t>
  </si>
  <si>
    <t>Belleza</t>
  </si>
  <si>
    <t>José Medina</t>
  </si>
  <si>
    <t>María López</t>
  </si>
  <si>
    <t>Yape</t>
  </si>
  <si>
    <t>TEC003</t>
  </si>
  <si>
    <t>Audífonos JBL</t>
  </si>
  <si>
    <t>Tecnología</t>
  </si>
  <si>
    <t>Rosa Mendoza</t>
  </si>
  <si>
    <t>Efectivo</t>
  </si>
  <si>
    <t>HOG001</t>
  </si>
  <si>
    <t>Licuadora Oster</t>
  </si>
  <si>
    <t>Hogar</t>
  </si>
  <si>
    <t>Ana Torres</t>
  </si>
  <si>
    <t>TEC001</t>
  </si>
  <si>
    <t>Laptop Lenovo</t>
  </si>
  <si>
    <t>Pedro Chávez</t>
  </si>
  <si>
    <t>Tarjeta</t>
  </si>
  <si>
    <t>HOG002</t>
  </si>
  <si>
    <t>Juego de Sábanas</t>
  </si>
  <si>
    <t>Mónica Palomino</t>
  </si>
  <si>
    <t>Transferencia</t>
  </si>
  <si>
    <t>MOD003</t>
  </si>
  <si>
    <t>Polo Básico</t>
  </si>
  <si>
    <t>Moda</t>
  </si>
  <si>
    <t>Valeria Quispe</t>
  </si>
  <si>
    <t>Iván Soto</t>
  </si>
  <si>
    <t>DEP001</t>
  </si>
  <si>
    <t>Mancuernas 5kg</t>
  </si>
  <si>
    <t>Deportes</t>
  </si>
  <si>
    <t>Miguel Herrera</t>
  </si>
  <si>
    <t>DEP002</t>
  </si>
  <si>
    <t>Mat de Yoga</t>
  </si>
  <si>
    <t>DEP003</t>
  </si>
  <si>
    <t>Tomatodo Deportivo</t>
  </si>
  <si>
    <t>Lucía Pérez</t>
  </si>
  <si>
    <t>Julio Campos</t>
  </si>
  <si>
    <t>Sofía Navarro</t>
  </si>
  <si>
    <t>TEC002</t>
  </si>
  <si>
    <t>Mouse Logitech</t>
  </si>
  <si>
    <t>Camila Paredes</t>
  </si>
  <si>
    <t>BEL003</t>
  </si>
  <si>
    <t>Shampoo Nutritivo</t>
  </si>
  <si>
    <t>Bruno Medina</t>
  </si>
  <si>
    <t>Paola Arias</t>
  </si>
  <si>
    <t>MOD001</t>
  </si>
  <si>
    <t>Casaca Denim</t>
  </si>
  <si>
    <t>Andrés Romero</t>
  </si>
  <si>
    <t>Elena Vera</t>
  </si>
  <si>
    <t>MOD002</t>
  </si>
  <si>
    <t>Zapatillas Urbanas</t>
  </si>
  <si>
    <t>Fiorella Díaz</t>
  </si>
  <si>
    <t>Omar Cárdenas</t>
  </si>
  <si>
    <t>HOG003</t>
  </si>
  <si>
    <t>Sartén Antiadherente</t>
  </si>
  <si>
    <t>Gabriela Núñez</t>
  </si>
  <si>
    <t>BEL001</t>
  </si>
  <si>
    <t>Perfume Floral</t>
  </si>
  <si>
    <t>Marco Espinoza</t>
  </si>
  <si>
    <t>Daniela Rivas</t>
  </si>
  <si>
    <t>Jorge Castillo</t>
  </si>
  <si>
    <t>Renato Flores</t>
  </si>
  <si>
    <t>Fernando Ruiz</t>
  </si>
  <si>
    <t>César Salcedo</t>
  </si>
  <si>
    <t>Karina Aguilar</t>
  </si>
  <si>
    <t>Alessandra Peña</t>
  </si>
  <si>
    <t>Carlos Rojas</t>
  </si>
  <si>
    <t>Kevin Vargas</t>
  </si>
  <si>
    <t>Javier Núñez</t>
  </si>
  <si>
    <t>Diana Salas</t>
  </si>
  <si>
    <t>ventas_arequipa_feb.xlsx</t>
  </si>
  <si>
    <t>Cliente no registrado</t>
  </si>
  <si>
    <t>ventas_huancayo_ene.xlsx</t>
  </si>
  <si>
    <t>Huancayo</t>
  </si>
  <si>
    <t>Andrea Huamán</t>
  </si>
  <si>
    <t>Luis Gutiérrez</t>
  </si>
  <si>
    <t>ventas_huancayo_feb.xlsx</t>
  </si>
  <si>
    <t>ventas_lima_ene.xlsx</t>
  </si>
  <si>
    <t>Lima</t>
  </si>
  <si>
    <t>Carla Ramos</t>
  </si>
  <si>
    <t>Diego Salazar</t>
  </si>
  <si>
    <t>ventas_lima_feb.xlsx</t>
  </si>
  <si>
    <t>Reporte Comercial Automatizado en Excel</t>
  </si>
  <si>
    <t>Empresa</t>
  </si>
  <si>
    <t>Comercial Andina S.A.C.</t>
  </si>
  <si>
    <t>Rubro</t>
  </si>
  <si>
    <t>Retail / Distribución comercial</t>
  </si>
  <si>
    <t>Periodo analizado</t>
  </si>
  <si>
    <t>Sedes</t>
  </si>
  <si>
    <t>Lima, Huancayo, Arequipa</t>
  </si>
  <si>
    <t>Fuente de datos</t>
  </si>
  <si>
    <t>Archivos Excel mensuales por sede</t>
  </si>
  <si>
    <t>Herramienta principal</t>
  </si>
  <si>
    <t>Excel + Power Query</t>
  </si>
  <si>
    <t>Tabla limpia</t>
  </si>
  <si>
    <t>tbl_ventas_limpias</t>
  </si>
  <si>
    <t>Total de registros</t>
  </si>
  <si>
    <t>Etiquetas de fila</t>
  </si>
  <si>
    <t>Total general</t>
  </si>
  <si>
    <t>Suma de Total Venta</t>
  </si>
  <si>
    <t>Ventas totales por sede</t>
  </si>
  <si>
    <t>Ventas por categoría</t>
  </si>
  <si>
    <t>Ventas por medio de pago</t>
  </si>
  <si>
    <t>Ventas por vendedor</t>
  </si>
  <si>
    <t>Ene</t>
  </si>
  <si>
    <t>Feb</t>
  </si>
  <si>
    <t>Ventas por mes</t>
  </si>
  <si>
    <t>Cuenta de Archivo Origen</t>
  </si>
  <si>
    <t>Cantidad de ventas por sede</t>
  </si>
  <si>
    <t>Unidades vendidas por categoría</t>
  </si>
  <si>
    <t>Suma de Cantidad</t>
  </si>
  <si>
    <t>Reporte Comercial Automatizado</t>
  </si>
  <si>
    <t>Ventas totales</t>
  </si>
  <si>
    <t>Cantidad de ventas</t>
  </si>
  <si>
    <t>Unidades vendidas</t>
  </si>
  <si>
    <t>Ticket promedio</t>
  </si>
  <si>
    <t>Descuento promedio</t>
  </si>
  <si>
    <t>ventas_arequipa_mar.xlsx</t>
  </si>
  <si>
    <t>ventas_huancayo_mar.xlsx</t>
  </si>
  <si>
    <t>ventas_lima_mar.xlsx</t>
  </si>
  <si>
    <t>Mar</t>
  </si>
  <si>
    <t>Enero - Marzo 2026</t>
  </si>
  <si>
    <t>900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</si>
</sst>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Border="1"/>
    <xf numFmtId="0" fontId="0" fillId="4" borderId="1" xfId="0" applyFill="1" applyBorder="1"/>
    <xf numFmtId="164" fontId="0" fillId="3" borderId="2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0" fontId="0" fillId="3" borderId="0" xfId="0" applyNumberFormat="1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0" fillId="3" borderId="0" xfId="0" applyNumberFormat="1" applyFont="1" applyFill="1" applyBorder="1" applyAlignment="1">
      <alignment horizontal="center"/>
    </xf>
    <xf numFmtId="1" fontId="0" fillId="3" borderId="2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" fontId="0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numFmt numFmtId="164" formatCode="&quot;S/&quot;\ #,##0.00"/>
    </dxf>
    <dxf>
      <numFmt numFmtId="164" formatCode="&quot;S/&quot;\ #,##0.00"/>
    </dxf>
    <dxf>
      <numFmt numFmtId="164" formatCode="&quot;S/&quot;\ #,##0.00"/>
    </dxf>
    <dxf>
      <numFmt numFmtId="164" formatCode="&quot;S/&quot;\ #,##0.00"/>
    </dxf>
    <dxf>
      <numFmt numFmtId="164" formatCode="&quot;S/&quot;\ #,##0.00"/>
    </dxf>
    <dxf>
      <numFmt numFmtId="164" formatCode="&quot;S/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[reporte-comercial-automatizado.xlsx]Analisis!TablaDinámica1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sede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Analisis!$A$4:$A$7</c:f>
              <c:strCache>
                <c:ptCount val="3"/>
                <c:pt idx="0">
                  <c:v>Arequipa</c:v>
                </c:pt>
                <c:pt idx="1">
                  <c:v>Huancayo</c:v>
                </c:pt>
                <c:pt idx="2">
                  <c:v>Lima</c:v>
                </c:pt>
              </c:strCache>
            </c:strRef>
          </c:cat>
          <c:val>
            <c:numRef>
              <c:f>Analisis!$B$4:$B$7</c:f>
              <c:numCache>
                <c:formatCode>"S/"\ #,##0.00</c:formatCode>
                <c:ptCount val="3"/>
                <c:pt idx="0">
                  <c:v>247827.75</c:v>
                </c:pt>
                <c:pt idx="1">
                  <c:v>298846.5</c:v>
                </c:pt>
                <c:pt idx="2">
                  <c:v>262059.25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C-43F3-BFBD-D30D6BF124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9865104"/>
        <c:axId val="124784384"/>
      </c:barChart>
      <c:catAx>
        <c:axId val="160986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4784384"/>
        <c:crosses val="autoZero"/>
        <c:auto val="1"/>
        <c:lblAlgn val="ctr"/>
        <c:lblOffset val="100"/>
        <c:noMultiLvlLbl val="0"/>
      </c:catAx>
      <c:valAx>
        <c:axId val="1247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0986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[reporte-comercial-automatizado.xlsx]Analisis!TablaDinámica2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Ventas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Analisis!$D$4:$D$9</c:f>
              <c:strCache>
                <c:ptCount val="5"/>
                <c:pt idx="0">
                  <c:v>Belleza</c:v>
                </c:pt>
                <c:pt idx="1">
                  <c:v>Deportes</c:v>
                </c:pt>
                <c:pt idx="2">
                  <c:v>Hogar</c:v>
                </c:pt>
                <c:pt idx="3">
                  <c:v>Moda</c:v>
                </c:pt>
                <c:pt idx="4">
                  <c:v>Tecnología</c:v>
                </c:pt>
              </c:strCache>
            </c:strRef>
          </c:cat>
          <c:val>
            <c:numRef>
              <c:f>Analisis!$E$4:$E$9</c:f>
              <c:numCache>
                <c:formatCode>"S/"\ #,##0.00</c:formatCode>
                <c:ptCount val="5"/>
                <c:pt idx="0">
                  <c:v>44152</c:v>
                </c:pt>
                <c:pt idx="1">
                  <c:v>37941.5</c:v>
                </c:pt>
                <c:pt idx="2">
                  <c:v>62469.25</c:v>
                </c:pt>
                <c:pt idx="3">
                  <c:v>95759.75</c:v>
                </c:pt>
                <c:pt idx="4">
                  <c:v>568411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8-44F3-AD11-81035AF72F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4615664"/>
        <c:axId val="324618992"/>
      </c:barChart>
      <c:catAx>
        <c:axId val="32461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4618992"/>
        <c:crosses val="autoZero"/>
        <c:auto val="1"/>
        <c:lblAlgn val="ctr"/>
        <c:lblOffset val="100"/>
        <c:noMultiLvlLbl val="0"/>
      </c:catAx>
      <c:valAx>
        <c:axId val="32461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461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[reporte-comercial-automatizado.xlsx]Analisis!TablaDinámica5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Ventas por 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Analisis!$A$21:$A$24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Analisis!$B$21:$B$24</c:f>
              <c:numCache>
                <c:formatCode>"S/"\ #,##0.00</c:formatCode>
                <c:ptCount val="3"/>
                <c:pt idx="0">
                  <c:v>298979</c:v>
                </c:pt>
                <c:pt idx="1">
                  <c:v>228846.25</c:v>
                </c:pt>
                <c:pt idx="2">
                  <c:v>280908.25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0-4503-814E-1880196B2A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1234880"/>
        <c:axId val="411235296"/>
      </c:barChart>
      <c:catAx>
        <c:axId val="4112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1235296"/>
        <c:crosses val="autoZero"/>
        <c:auto val="1"/>
        <c:lblAlgn val="ctr"/>
        <c:lblOffset val="100"/>
        <c:noMultiLvlLbl val="0"/>
      </c:catAx>
      <c:valAx>
        <c:axId val="41123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112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[reporte-comercial-automatizado.xlsx]Analisis!TablaDinámica3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Ventas por medio de pago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7D-4517-B767-5F399FE6F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7D-4517-B767-5F399FE6F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7D-4517-B767-5F399FE6F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7D-4517-B767-5F399FE6F63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Analisis!$A$12:$A$16</c:f>
              <c:strCache>
                <c:ptCount val="4"/>
                <c:pt idx="0">
                  <c:v>Efectivo</c:v>
                </c:pt>
                <c:pt idx="1">
                  <c:v>Tarjeta</c:v>
                </c:pt>
                <c:pt idx="2">
                  <c:v>Transferencia</c:v>
                </c:pt>
                <c:pt idx="3">
                  <c:v>Yape</c:v>
                </c:pt>
              </c:strCache>
            </c:strRef>
          </c:cat>
          <c:val>
            <c:numRef>
              <c:f>Analisis!$B$12:$B$16</c:f>
              <c:numCache>
                <c:formatCode>"S/"\ #,##0.00</c:formatCode>
                <c:ptCount val="4"/>
                <c:pt idx="0">
                  <c:v>185245.5</c:v>
                </c:pt>
                <c:pt idx="1">
                  <c:v>191292</c:v>
                </c:pt>
                <c:pt idx="2">
                  <c:v>210395.25</c:v>
                </c:pt>
                <c:pt idx="3">
                  <c:v>221800.75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7D-4517-B767-5F399FE6F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57149</xdr:rowOff>
    </xdr:from>
    <xdr:to>
      <xdr:col>2</xdr:col>
      <xdr:colOff>35858</xdr:colOff>
      <xdr:row>18</xdr:row>
      <xdr:rowOff>8964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134705-DD1D-4652-BC8A-4436C8C63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116541</xdr:colOff>
      <xdr:row>4</xdr:row>
      <xdr:rowOff>60959</xdr:rowOff>
    </xdr:from>
    <xdr:to>
      <xdr:col>8</xdr:col>
      <xdr:colOff>26894</xdr:colOff>
      <xdr:row>17</xdr:row>
      <xdr:rowOff>170328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C2C8BA-3F33-4049-875D-B6C19D76F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139850</xdr:rowOff>
    </xdr:from>
    <xdr:to>
      <xdr:col>3</xdr:col>
      <xdr:colOff>1470211</xdr:colOff>
      <xdr:row>32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8A9AD4-BEA2-46A9-8786-F4A5269C0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1604683</xdr:colOff>
      <xdr:row>18</xdr:row>
      <xdr:rowOff>125506</xdr:rowOff>
    </xdr:from>
    <xdr:to>
      <xdr:col>8</xdr:col>
      <xdr:colOff>53789</xdr:colOff>
      <xdr:row>31</xdr:row>
      <xdr:rowOff>177949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6EDF631-8FD4-4845-BAB4-EDE69B867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177053</xdr:colOff>
      <xdr:row>4</xdr:row>
      <xdr:rowOff>85166</xdr:rowOff>
    </xdr:from>
    <xdr:to>
      <xdr:col>9</xdr:col>
      <xdr:colOff>717176</xdr:colOff>
      <xdr:row>11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de">
              <a:extLst>
                <a:ext uri="{FF2B5EF4-FFF2-40B4-BE49-F238E27FC236}">
                  <a16:creationId xmlns:a16="http://schemas.microsoft.com/office/drawing/2014/main" id="{5B133754-BC2B-4D96-A7A9-A9C2F63A57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065" y="954742"/>
              <a:ext cx="1828800" cy="1169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177053</xdr:colOff>
      <xdr:row>12</xdr:row>
      <xdr:rowOff>138951</xdr:rowOff>
    </xdr:from>
    <xdr:to>
      <xdr:col>9</xdr:col>
      <xdr:colOff>699247</xdr:colOff>
      <xdr:row>22</xdr:row>
      <xdr:rowOff>44821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C23AB63E-4639-4A49-A513-99A25B5E8D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6065" y="2442880"/>
              <a:ext cx="1828800" cy="1698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186017</xdr:colOff>
      <xdr:row>24</xdr:row>
      <xdr:rowOff>4482</xdr:rowOff>
    </xdr:from>
    <xdr:to>
      <xdr:col>9</xdr:col>
      <xdr:colOff>699247</xdr:colOff>
      <xdr:row>32</xdr:row>
      <xdr:rowOff>8964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edio de Pago">
              <a:extLst>
                <a:ext uri="{FF2B5EF4-FFF2-40B4-BE49-F238E27FC236}">
                  <a16:creationId xmlns:a16="http://schemas.microsoft.com/office/drawing/2014/main" id="{41F903BC-1429-4832-AD26-0670D8CDF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5029" y="4459941"/>
              <a:ext cx="1828800" cy="1438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G20" refreshedDate="46136.781713310185" createdVersion="7" refreshedVersion="7" minRefreshableVersion="3" recordCount="900" xr:uid="{A47DFA2C-FE03-412C-8624-C9B3A9328510}">
  <cacheSource type="worksheet">
    <worksheetSource name="tbl_ventas_limpias"/>
  </cacheSource>
  <cacheFields count="14">
    <cacheField name="Archivo Origen" numFmtId="0">
      <sharedItems/>
    </cacheField>
    <cacheField name="Fecha" numFmtId="14">
      <sharedItems containsSemiMixedTypes="0" containsNonDate="0" containsDate="1" containsString="0" minDate="2026-01-01T00:00:00" maxDate="2026-04-01T00:00:00" count="90">
        <d v="2026-01-13T00:00:00"/>
        <d v="2026-01-27T00:00:00"/>
        <d v="2026-01-05T00:00:00"/>
        <d v="2026-01-18T00:00:00"/>
        <d v="2026-01-21T00:00:00"/>
        <d v="2026-01-19T00:00:00"/>
        <d v="2026-01-14T00:00:00"/>
        <d v="2026-01-26T00:00:00"/>
        <d v="2026-01-01T00:00:00"/>
        <d v="2026-01-24T00:00:00"/>
        <d v="2026-01-22T00:00:00"/>
        <d v="2026-01-31T00:00:00"/>
        <d v="2026-01-10T00:00:00"/>
        <d v="2026-01-28T00:00:00"/>
        <d v="2026-01-12T00:00:00"/>
        <d v="2026-01-06T00:00:00"/>
        <d v="2026-01-23T00:00:00"/>
        <d v="2026-01-09T00:00:00"/>
        <d v="2026-01-04T00:00:00"/>
        <d v="2026-01-30T00:00:00"/>
        <d v="2026-01-07T00:00:00"/>
        <d v="2026-01-25T00:00:00"/>
        <d v="2026-01-08T00:00:00"/>
        <d v="2026-01-17T00:00:00"/>
        <d v="2026-01-15T00:00:00"/>
        <d v="2026-01-11T00:00:00"/>
        <d v="2026-01-20T00:00:00"/>
        <d v="2026-01-02T00:00:00"/>
        <d v="2026-01-29T00:00:00"/>
        <d v="2026-01-03T00:00:00"/>
        <d v="2026-01-16T00:00:00"/>
        <d v="2026-02-22T00:00:00"/>
        <d v="2026-02-05T00:00:00"/>
        <d v="2026-02-03T00:00:00"/>
        <d v="2026-02-13T00:00:00"/>
        <d v="2026-02-28T00:00:00"/>
        <d v="2026-02-14T00:00:00"/>
        <d v="2026-02-19T00:00:00"/>
        <d v="2026-02-20T00:00:00"/>
        <d v="2026-02-08T00:00:00"/>
        <d v="2026-02-17T00:00:00"/>
        <d v="2026-02-04T00:00:00"/>
        <d v="2026-02-12T00:00:00"/>
        <d v="2026-02-16T00:00:00"/>
        <d v="2026-02-11T00:00:00"/>
        <d v="2026-02-15T00:00:00"/>
        <d v="2026-02-23T00:00:00"/>
        <d v="2026-02-21T00:00:00"/>
        <d v="2026-02-25T00:00:00"/>
        <d v="2026-02-10T00:00:00"/>
        <d v="2026-02-02T00:00:00"/>
        <d v="2026-02-09T00:00:00"/>
        <d v="2026-02-18T00:00:00"/>
        <d v="2026-02-06T00:00:00"/>
        <d v="2026-02-07T00:00:00"/>
        <d v="2026-02-24T00:00:00"/>
        <d v="2026-02-26T00:00:00"/>
        <d v="2026-03-18T00:00:00"/>
        <d v="2026-03-28T00:00:00"/>
        <d v="2026-03-31T00:00:00"/>
        <d v="2026-03-29T00:00:00"/>
        <d v="2026-03-13T00:00:00"/>
        <d v="2026-03-01T00:00:00"/>
        <d v="2026-03-22T00:00:00"/>
        <d v="2026-03-02T00:00:00"/>
        <d v="2026-03-23T00:00:00"/>
        <d v="2026-03-06T00:00:00"/>
        <d v="2026-03-26T00:00:00"/>
        <d v="2026-03-11T00:00:00"/>
        <d v="2026-03-25T00:00:00"/>
        <d v="2026-03-04T00:00:00"/>
        <d v="2026-03-03T00:00:00"/>
        <d v="2026-03-09T00:00:00"/>
        <d v="2026-03-20T00:00:00"/>
        <d v="2026-03-07T00:00:00"/>
        <d v="2026-03-14T00:00:00"/>
        <d v="2026-03-19T00:00:00"/>
        <d v="2026-03-05T00:00:00"/>
        <d v="2026-03-27T00:00:00"/>
        <d v="2026-03-30T00:00:00"/>
        <d v="2026-03-12T00:00:00"/>
        <d v="2026-03-10T00:00:00"/>
        <d v="2026-03-21T00:00:00"/>
        <d v="2026-03-17T00:00:00"/>
        <d v="2026-03-15T00:00:00"/>
        <d v="2026-03-08T00:00:00"/>
        <d v="2026-03-16T00:00:00"/>
        <d v="2026-02-27T00:00:00"/>
        <d v="2026-02-01T00:00:00"/>
        <d v="2026-03-24T00:00:00"/>
      </sharedItems>
      <fieldGroup par="13" base="1">
        <rangePr groupBy="days" startDate="2026-01-01T00:00:00" endDate="2026-04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4/2026"/>
        </groupItems>
      </fieldGroup>
    </cacheField>
    <cacheField name="Sede" numFmtId="0">
      <sharedItems count="3">
        <s v="Arequipa"/>
        <s v="Huancayo"/>
        <s v="Lima"/>
      </sharedItems>
    </cacheField>
    <cacheField name="Código Producto" numFmtId="0">
      <sharedItems/>
    </cacheField>
    <cacheField name="Producto" numFmtId="0">
      <sharedItems/>
    </cacheField>
    <cacheField name="Categoria" numFmtId="0">
      <sharedItems count="5">
        <s v="Belleza"/>
        <s v="Tecnología"/>
        <s v="Hogar"/>
        <s v="Moda"/>
        <s v="Deportes"/>
      </sharedItems>
    </cacheField>
    <cacheField name="Vendedor" numFmtId="0">
      <sharedItems count="6">
        <s v="José Medina"/>
        <s v="Valeria Quispe"/>
        <s v="Andrea Huamán"/>
        <s v="Luis Gutiérrez"/>
        <s v="Carla Ramos"/>
        <s v="Diego Salazar"/>
      </sharedItems>
    </cacheField>
    <cacheField name="Cliente" numFmtId="0">
      <sharedItems/>
    </cacheField>
    <cacheField name="Cantidad" numFmtId="0">
      <sharedItems containsSemiMixedTypes="0" containsString="0" containsNumber="1" containsInteger="1" minValue="1" maxValue="5"/>
    </cacheField>
    <cacheField name="Precio Unitario" numFmtId="0">
      <sharedItems containsSemiMixedTypes="0" containsString="0" containsNumber="1" containsInteger="1" minValue="35" maxValue="2800"/>
    </cacheField>
    <cacheField name="Descuento" numFmtId="0">
      <sharedItems containsSemiMixedTypes="0" containsString="0" containsNumber="1" minValue="0" maxValue="0.15"/>
    </cacheField>
    <cacheField name="Total Venta" numFmtId="0">
      <sharedItems containsSemiMixedTypes="0" containsString="0" containsNumber="1" minValue="31.5" maxValue="14000"/>
    </cacheField>
    <cacheField name="Medio de Pago" numFmtId="0">
      <sharedItems count="4">
        <s v="Yape"/>
        <s v="Efectivo"/>
        <s v="Tarjeta"/>
        <s v="Transferencia"/>
      </sharedItems>
    </cacheField>
    <cacheField name="Meses" numFmtId="0" databaseField="0">
      <fieldGroup base="1">
        <rangePr groupBy="months" startDate="2026-01-01T00:00:00" endDate="2026-04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4/2026"/>
        </groupItems>
      </fieldGroup>
    </cacheField>
  </cacheFields>
  <extLst>
    <ext xmlns:x14="http://schemas.microsoft.com/office/spreadsheetml/2009/9/main" uri="{725AE2AE-9491-48be-B2B4-4EB974FC3084}">
      <x14:pivotCacheDefinition pivotCacheId="15885452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ventas_arequipa_ene.xlsx"/>
    <x v="0"/>
    <x v="0"/>
    <s v="BEL002"/>
    <s v="Crema Facial"/>
    <x v="0"/>
    <x v="0"/>
    <s v="María López"/>
    <n v="1"/>
    <n v="60"/>
    <n v="0"/>
    <n v="60"/>
    <x v="0"/>
  </r>
  <r>
    <s v="ventas_arequipa_ene.xlsx"/>
    <x v="1"/>
    <x v="0"/>
    <s v="TEC003"/>
    <s v="Audífonos JBL"/>
    <x v="1"/>
    <x v="0"/>
    <s v="Rosa Mendoza"/>
    <n v="3"/>
    <n v="220"/>
    <n v="0.1"/>
    <n v="594"/>
    <x v="1"/>
  </r>
  <r>
    <s v="ventas_arequipa_ene.xlsx"/>
    <x v="2"/>
    <x v="0"/>
    <s v="HOG001"/>
    <s v="Licuadora Oster"/>
    <x v="2"/>
    <x v="0"/>
    <s v="Ana Torres"/>
    <n v="4"/>
    <n v="180"/>
    <n v="0.05"/>
    <n v="684"/>
    <x v="1"/>
  </r>
  <r>
    <s v="ventas_arequipa_ene.xlsx"/>
    <x v="3"/>
    <x v="0"/>
    <s v="TEC001"/>
    <s v="Laptop Lenovo"/>
    <x v="1"/>
    <x v="0"/>
    <s v="Pedro Chávez"/>
    <n v="2"/>
    <n v="2800"/>
    <n v="0.1"/>
    <n v="5040"/>
    <x v="2"/>
  </r>
  <r>
    <s v="ventas_arequipa_ene.xlsx"/>
    <x v="4"/>
    <x v="0"/>
    <s v="HOG002"/>
    <s v="Juego de Sábanas"/>
    <x v="2"/>
    <x v="0"/>
    <s v="Mónica Palomino"/>
    <n v="1"/>
    <n v="120"/>
    <n v="0"/>
    <n v="120"/>
    <x v="3"/>
  </r>
  <r>
    <s v="ventas_arequipa_ene.xlsx"/>
    <x v="5"/>
    <x v="0"/>
    <s v="MOD003"/>
    <s v="Polo Básico"/>
    <x v="3"/>
    <x v="1"/>
    <s v="Pedro Chávez"/>
    <n v="1"/>
    <n v="55"/>
    <n v="0.05"/>
    <n v="52.25"/>
    <x v="3"/>
  </r>
  <r>
    <s v="ventas_arequipa_ene.xlsx"/>
    <x v="6"/>
    <x v="0"/>
    <s v="TEC001"/>
    <s v="Laptop Lenovo"/>
    <x v="1"/>
    <x v="1"/>
    <s v="María López"/>
    <n v="3"/>
    <n v="2800"/>
    <n v="0"/>
    <n v="8400"/>
    <x v="0"/>
  </r>
  <r>
    <s v="ventas_arequipa_ene.xlsx"/>
    <x v="7"/>
    <x v="0"/>
    <s v="TEC001"/>
    <s v="Laptop Lenovo"/>
    <x v="1"/>
    <x v="1"/>
    <s v="Iván Soto"/>
    <n v="5"/>
    <n v="2800"/>
    <n v="0"/>
    <n v="14000"/>
    <x v="1"/>
  </r>
  <r>
    <s v="ventas_arequipa_ene.xlsx"/>
    <x v="8"/>
    <x v="0"/>
    <s v="DEP001"/>
    <s v="Mancuernas 5kg"/>
    <x v="4"/>
    <x v="0"/>
    <s v="Miguel Herrera"/>
    <n v="3"/>
    <n v="140"/>
    <n v="0"/>
    <n v="420"/>
    <x v="2"/>
  </r>
  <r>
    <s v="ventas_arequipa_ene.xlsx"/>
    <x v="9"/>
    <x v="0"/>
    <s v="DEP002"/>
    <s v="Mat de Yoga"/>
    <x v="4"/>
    <x v="0"/>
    <s v="Miguel Herrera"/>
    <n v="1"/>
    <n v="85"/>
    <n v="0.05"/>
    <n v="80.75"/>
    <x v="0"/>
  </r>
  <r>
    <s v="ventas_arequipa_ene.xlsx"/>
    <x v="10"/>
    <x v="0"/>
    <s v="DEP003"/>
    <s v="Tomatodo Deportivo"/>
    <x v="4"/>
    <x v="0"/>
    <s v="Iván Soto"/>
    <n v="2"/>
    <n v="35"/>
    <n v="0.1"/>
    <n v="63"/>
    <x v="2"/>
  </r>
  <r>
    <s v="ventas_arequipa_ene.xlsx"/>
    <x v="11"/>
    <x v="0"/>
    <s v="DEP003"/>
    <s v="Tomatodo Deportivo"/>
    <x v="4"/>
    <x v="0"/>
    <s v="Lucía Pérez"/>
    <n v="1"/>
    <n v="35"/>
    <n v="0.05"/>
    <n v="33.25"/>
    <x v="1"/>
  </r>
  <r>
    <s v="ventas_arequipa_ene.xlsx"/>
    <x v="12"/>
    <x v="0"/>
    <s v="DEP003"/>
    <s v="Tomatodo Deportivo"/>
    <x v="4"/>
    <x v="0"/>
    <s v="Julio Campos"/>
    <n v="1"/>
    <n v="35"/>
    <n v="0"/>
    <n v="35"/>
    <x v="3"/>
  </r>
  <r>
    <s v="ventas_arequipa_ene.xlsx"/>
    <x v="13"/>
    <x v="0"/>
    <s v="HOG001"/>
    <s v="Licuadora Oster"/>
    <x v="2"/>
    <x v="1"/>
    <s v="Sofía Navarro"/>
    <n v="2"/>
    <n v="180"/>
    <n v="0"/>
    <n v="360"/>
    <x v="0"/>
  </r>
  <r>
    <s v="ventas_arequipa_ene.xlsx"/>
    <x v="0"/>
    <x v="0"/>
    <s v="TEC002"/>
    <s v="Mouse Logitech"/>
    <x v="1"/>
    <x v="0"/>
    <s v="Camila Paredes"/>
    <n v="3"/>
    <n v="75"/>
    <n v="0"/>
    <n v="225"/>
    <x v="0"/>
  </r>
  <r>
    <s v="ventas_arequipa_ene.xlsx"/>
    <x v="14"/>
    <x v="0"/>
    <s v="BEL003"/>
    <s v="Shampoo Nutritivo"/>
    <x v="0"/>
    <x v="0"/>
    <s v="Bruno Medina"/>
    <n v="4"/>
    <n v="45"/>
    <n v="0.05"/>
    <n v="171"/>
    <x v="3"/>
  </r>
  <r>
    <s v="ventas_arequipa_ene.xlsx"/>
    <x v="15"/>
    <x v="0"/>
    <s v="TEC002"/>
    <s v="Mouse Logitech"/>
    <x v="1"/>
    <x v="0"/>
    <s v="María López"/>
    <n v="5"/>
    <n v="75"/>
    <n v="0.15"/>
    <n v="318.75"/>
    <x v="0"/>
  </r>
  <r>
    <s v="ventas_arequipa_ene.xlsx"/>
    <x v="16"/>
    <x v="0"/>
    <s v="DEP001"/>
    <s v="Mancuernas 5kg"/>
    <x v="4"/>
    <x v="0"/>
    <s v="Paola Arias"/>
    <n v="3"/>
    <n v="140"/>
    <n v="0"/>
    <n v="420"/>
    <x v="0"/>
  </r>
  <r>
    <s v="ventas_arequipa_ene.xlsx"/>
    <x v="6"/>
    <x v="0"/>
    <s v="MOD001"/>
    <s v="Casaca Denim"/>
    <x v="3"/>
    <x v="0"/>
    <s v="Andrés Romero"/>
    <n v="3"/>
    <n v="160"/>
    <n v="0.05"/>
    <n v="456"/>
    <x v="1"/>
  </r>
  <r>
    <s v="ventas_arequipa_ene.xlsx"/>
    <x v="7"/>
    <x v="0"/>
    <s v="TEC001"/>
    <s v="Laptop Lenovo"/>
    <x v="1"/>
    <x v="1"/>
    <s v="Rosa Mendoza"/>
    <n v="4"/>
    <n v="2800"/>
    <n v="0"/>
    <n v="11200"/>
    <x v="3"/>
  </r>
  <r>
    <s v="ventas_arequipa_ene.xlsx"/>
    <x v="4"/>
    <x v="0"/>
    <s v="TEC001"/>
    <s v="Laptop Lenovo"/>
    <x v="1"/>
    <x v="0"/>
    <s v="Elena Vera"/>
    <n v="1"/>
    <n v="2800"/>
    <n v="0"/>
    <n v="2800"/>
    <x v="1"/>
  </r>
  <r>
    <s v="ventas_arequipa_ene.xlsx"/>
    <x v="14"/>
    <x v="0"/>
    <s v="MOD003"/>
    <s v="Polo Básico"/>
    <x v="3"/>
    <x v="0"/>
    <s v="Elena Vera"/>
    <n v="4"/>
    <n v="55"/>
    <n v="0.1"/>
    <n v="198"/>
    <x v="2"/>
  </r>
  <r>
    <s v="ventas_arequipa_ene.xlsx"/>
    <x v="17"/>
    <x v="0"/>
    <s v="MOD002"/>
    <s v="Zapatillas Urbanas"/>
    <x v="3"/>
    <x v="1"/>
    <s v="Ana Torres"/>
    <n v="4"/>
    <n v="210"/>
    <n v="0"/>
    <n v="840"/>
    <x v="2"/>
  </r>
  <r>
    <s v="ventas_arequipa_ene.xlsx"/>
    <x v="18"/>
    <x v="0"/>
    <s v="MOD002"/>
    <s v="Zapatillas Urbanas"/>
    <x v="3"/>
    <x v="0"/>
    <s v="Fiorella Díaz"/>
    <n v="4"/>
    <n v="210"/>
    <n v="0.1"/>
    <n v="756"/>
    <x v="3"/>
  </r>
  <r>
    <s v="ventas_arequipa_ene.xlsx"/>
    <x v="19"/>
    <x v="0"/>
    <s v="TEC003"/>
    <s v="Audífonos JBL"/>
    <x v="1"/>
    <x v="0"/>
    <s v="Rosa Mendoza"/>
    <n v="5"/>
    <n v="220"/>
    <n v="0"/>
    <n v="1100"/>
    <x v="1"/>
  </r>
  <r>
    <s v="ventas_arequipa_ene.xlsx"/>
    <x v="7"/>
    <x v="0"/>
    <s v="MOD001"/>
    <s v="Casaca Denim"/>
    <x v="3"/>
    <x v="0"/>
    <s v="Fiorella Díaz"/>
    <n v="4"/>
    <n v="160"/>
    <n v="0.15"/>
    <n v="544"/>
    <x v="1"/>
  </r>
  <r>
    <s v="ventas_arequipa_ene.xlsx"/>
    <x v="13"/>
    <x v="0"/>
    <s v="MOD002"/>
    <s v="Zapatillas Urbanas"/>
    <x v="3"/>
    <x v="1"/>
    <s v="Omar Cárdenas"/>
    <n v="3"/>
    <n v="210"/>
    <n v="0.1"/>
    <n v="567"/>
    <x v="2"/>
  </r>
  <r>
    <s v="ventas_arequipa_ene.xlsx"/>
    <x v="20"/>
    <x v="0"/>
    <s v="DEP003"/>
    <s v="Tomatodo Deportivo"/>
    <x v="4"/>
    <x v="1"/>
    <s v="Iván Soto"/>
    <n v="5"/>
    <n v="35"/>
    <n v="0"/>
    <n v="175"/>
    <x v="1"/>
  </r>
  <r>
    <s v="ventas_arequipa_ene.xlsx"/>
    <x v="7"/>
    <x v="0"/>
    <s v="HOG003"/>
    <s v="Sartén Antiadherente"/>
    <x v="2"/>
    <x v="1"/>
    <s v="María López"/>
    <n v="5"/>
    <n v="95"/>
    <n v="0"/>
    <n v="475"/>
    <x v="1"/>
  </r>
  <r>
    <s v="ventas_arequipa_ene.xlsx"/>
    <x v="21"/>
    <x v="0"/>
    <s v="HOG002"/>
    <s v="Juego de Sábanas"/>
    <x v="2"/>
    <x v="0"/>
    <s v="María López"/>
    <n v="4"/>
    <n v="120"/>
    <n v="0"/>
    <n v="480"/>
    <x v="2"/>
  </r>
  <r>
    <s v="ventas_arequipa_ene.xlsx"/>
    <x v="10"/>
    <x v="0"/>
    <s v="BEL003"/>
    <s v="Shampoo Nutritivo"/>
    <x v="0"/>
    <x v="0"/>
    <s v="Mónica Palomino"/>
    <n v="1"/>
    <n v="45"/>
    <n v="0"/>
    <n v="45"/>
    <x v="2"/>
  </r>
  <r>
    <s v="ventas_arequipa_ene.xlsx"/>
    <x v="19"/>
    <x v="0"/>
    <s v="DEP003"/>
    <s v="Tomatodo Deportivo"/>
    <x v="4"/>
    <x v="1"/>
    <s v="Gabriela Núñez"/>
    <n v="2"/>
    <n v="35"/>
    <n v="0"/>
    <n v="70"/>
    <x v="2"/>
  </r>
  <r>
    <s v="ventas_arequipa_ene.xlsx"/>
    <x v="16"/>
    <x v="0"/>
    <s v="HOG002"/>
    <s v="Juego de Sábanas"/>
    <x v="2"/>
    <x v="1"/>
    <s v="Gabriela Núñez"/>
    <n v="2"/>
    <n v="120"/>
    <n v="0"/>
    <n v="240"/>
    <x v="0"/>
  </r>
  <r>
    <s v="ventas_arequipa_ene.xlsx"/>
    <x v="11"/>
    <x v="0"/>
    <s v="BEL001"/>
    <s v="Perfume Floral"/>
    <x v="0"/>
    <x v="0"/>
    <s v="Pedro Chávez"/>
    <n v="3"/>
    <n v="170"/>
    <n v="0"/>
    <n v="510"/>
    <x v="1"/>
  </r>
  <r>
    <s v="ventas_arequipa_ene.xlsx"/>
    <x v="5"/>
    <x v="0"/>
    <s v="MOD002"/>
    <s v="Zapatillas Urbanas"/>
    <x v="3"/>
    <x v="1"/>
    <s v="Marco Espinoza"/>
    <n v="2"/>
    <n v="210"/>
    <n v="0.05"/>
    <n v="399"/>
    <x v="0"/>
  </r>
  <r>
    <s v="ventas_arequipa_ene.xlsx"/>
    <x v="13"/>
    <x v="0"/>
    <s v="BEL001"/>
    <s v="Perfume Floral"/>
    <x v="0"/>
    <x v="1"/>
    <s v="Daniela Rivas"/>
    <n v="5"/>
    <n v="170"/>
    <n v="0"/>
    <n v="850"/>
    <x v="0"/>
  </r>
  <r>
    <s v="ventas_arequipa_ene.xlsx"/>
    <x v="4"/>
    <x v="0"/>
    <s v="DEP001"/>
    <s v="Mancuernas 5kg"/>
    <x v="4"/>
    <x v="1"/>
    <s v="Daniela Rivas"/>
    <n v="5"/>
    <n v="140"/>
    <n v="0"/>
    <n v="700"/>
    <x v="0"/>
  </r>
  <r>
    <s v="ventas_arequipa_ene.xlsx"/>
    <x v="7"/>
    <x v="0"/>
    <s v="DEP001"/>
    <s v="Mancuernas 5kg"/>
    <x v="4"/>
    <x v="0"/>
    <s v="María López"/>
    <n v="3"/>
    <n v="140"/>
    <n v="0"/>
    <n v="420"/>
    <x v="1"/>
  </r>
  <r>
    <s v="ventas_arequipa_ene.xlsx"/>
    <x v="20"/>
    <x v="0"/>
    <s v="TEC003"/>
    <s v="Audífonos JBL"/>
    <x v="1"/>
    <x v="0"/>
    <s v="Sofía Navarro"/>
    <n v="4"/>
    <n v="220"/>
    <n v="0"/>
    <n v="880"/>
    <x v="0"/>
  </r>
  <r>
    <s v="ventas_arequipa_ene.xlsx"/>
    <x v="2"/>
    <x v="0"/>
    <s v="DEP002"/>
    <s v="Mat de Yoga"/>
    <x v="4"/>
    <x v="0"/>
    <s v="Jorge Castillo"/>
    <n v="3"/>
    <n v="85"/>
    <n v="0.15"/>
    <n v="216.75"/>
    <x v="0"/>
  </r>
  <r>
    <s v="ventas_arequipa_ene.xlsx"/>
    <x v="22"/>
    <x v="0"/>
    <s v="HOG001"/>
    <s v="Licuadora Oster"/>
    <x v="2"/>
    <x v="1"/>
    <s v="Pedro Chávez"/>
    <n v="1"/>
    <n v="180"/>
    <n v="0"/>
    <n v="180"/>
    <x v="3"/>
  </r>
  <r>
    <s v="ventas_arequipa_ene.xlsx"/>
    <x v="13"/>
    <x v="0"/>
    <s v="BEL001"/>
    <s v="Perfume Floral"/>
    <x v="0"/>
    <x v="1"/>
    <s v="Omar Cárdenas"/>
    <n v="4"/>
    <n v="170"/>
    <n v="0"/>
    <n v="680"/>
    <x v="0"/>
  </r>
  <r>
    <s v="ventas_arequipa_ene.xlsx"/>
    <x v="23"/>
    <x v="0"/>
    <s v="TEC003"/>
    <s v="Audífonos JBL"/>
    <x v="1"/>
    <x v="0"/>
    <s v="Pedro Chávez"/>
    <n v="2"/>
    <n v="220"/>
    <n v="0"/>
    <n v="440"/>
    <x v="3"/>
  </r>
  <r>
    <s v="ventas_arequipa_ene.xlsx"/>
    <x v="11"/>
    <x v="0"/>
    <s v="TEC001"/>
    <s v="Laptop Lenovo"/>
    <x v="1"/>
    <x v="1"/>
    <s v="Miguel Herrera"/>
    <n v="4"/>
    <n v="2800"/>
    <n v="0"/>
    <n v="11200"/>
    <x v="1"/>
  </r>
  <r>
    <s v="ventas_arequipa_ene.xlsx"/>
    <x v="1"/>
    <x v="0"/>
    <s v="TEC001"/>
    <s v="Laptop Lenovo"/>
    <x v="1"/>
    <x v="0"/>
    <s v="Ana Torres"/>
    <n v="4"/>
    <n v="2800"/>
    <n v="0.05"/>
    <n v="10640"/>
    <x v="1"/>
  </r>
  <r>
    <s v="ventas_arequipa_ene.xlsx"/>
    <x v="21"/>
    <x v="0"/>
    <s v="MOD001"/>
    <s v="Casaca Denim"/>
    <x v="3"/>
    <x v="0"/>
    <s v="Camila Paredes"/>
    <n v="3"/>
    <n v="160"/>
    <n v="0.05"/>
    <n v="456"/>
    <x v="1"/>
  </r>
  <r>
    <s v="ventas_arequipa_ene.xlsx"/>
    <x v="12"/>
    <x v="0"/>
    <s v="MOD003"/>
    <s v="Polo Básico"/>
    <x v="3"/>
    <x v="1"/>
    <s v="Paola Arias"/>
    <n v="2"/>
    <n v="55"/>
    <n v="0"/>
    <n v="110"/>
    <x v="0"/>
  </r>
  <r>
    <s v="ventas_arequipa_ene.xlsx"/>
    <x v="18"/>
    <x v="0"/>
    <s v="BEL001"/>
    <s v="Perfume Floral"/>
    <x v="0"/>
    <x v="1"/>
    <s v="Camila Paredes"/>
    <n v="5"/>
    <n v="170"/>
    <n v="0.05"/>
    <n v="807.5"/>
    <x v="0"/>
  </r>
  <r>
    <s v="ventas_arequipa_ene.xlsx"/>
    <x v="14"/>
    <x v="0"/>
    <s v="DEP003"/>
    <s v="Tomatodo Deportivo"/>
    <x v="4"/>
    <x v="1"/>
    <s v="Gabriela Núñez"/>
    <n v="3"/>
    <n v="35"/>
    <n v="0.05"/>
    <n v="99.75"/>
    <x v="3"/>
  </r>
  <r>
    <s v="ventas_arequipa_ene.xlsx"/>
    <x v="16"/>
    <x v="0"/>
    <s v="MOD002"/>
    <s v="Zapatillas Urbanas"/>
    <x v="3"/>
    <x v="0"/>
    <s v="Gabriela Núñez"/>
    <n v="1"/>
    <n v="210"/>
    <n v="0"/>
    <n v="210"/>
    <x v="3"/>
  </r>
  <r>
    <s v="ventas_arequipa_ene.xlsx"/>
    <x v="19"/>
    <x v="0"/>
    <s v="TEC002"/>
    <s v="Mouse Logitech"/>
    <x v="1"/>
    <x v="0"/>
    <s v="Marco Espinoza"/>
    <n v="5"/>
    <n v="75"/>
    <n v="0"/>
    <n v="375"/>
    <x v="0"/>
  </r>
  <r>
    <s v="ventas_arequipa_ene.xlsx"/>
    <x v="3"/>
    <x v="0"/>
    <s v="MOD003"/>
    <s v="Polo Básico"/>
    <x v="3"/>
    <x v="0"/>
    <s v="Pedro Chávez"/>
    <n v="5"/>
    <n v="55"/>
    <n v="0.1"/>
    <n v="247.5"/>
    <x v="3"/>
  </r>
  <r>
    <s v="ventas_arequipa_ene.xlsx"/>
    <x v="18"/>
    <x v="0"/>
    <s v="DEP003"/>
    <s v="Tomatodo Deportivo"/>
    <x v="4"/>
    <x v="0"/>
    <s v="Andrés Romero"/>
    <n v="3"/>
    <n v="35"/>
    <n v="0"/>
    <n v="105"/>
    <x v="1"/>
  </r>
  <r>
    <s v="ventas_arequipa_ene.xlsx"/>
    <x v="7"/>
    <x v="0"/>
    <s v="MOD003"/>
    <s v="Polo Básico"/>
    <x v="3"/>
    <x v="1"/>
    <s v="Elena Vera"/>
    <n v="3"/>
    <n v="55"/>
    <n v="0.15"/>
    <n v="140.25"/>
    <x v="3"/>
  </r>
  <r>
    <s v="ventas_arequipa_ene.xlsx"/>
    <x v="0"/>
    <x v="0"/>
    <s v="TEC003"/>
    <s v="Audífonos JBL"/>
    <x v="1"/>
    <x v="1"/>
    <s v="Renato Flores"/>
    <n v="5"/>
    <n v="220"/>
    <n v="0.05"/>
    <n v="1045"/>
    <x v="1"/>
  </r>
  <r>
    <s v="ventas_arequipa_ene.xlsx"/>
    <x v="24"/>
    <x v="0"/>
    <s v="MOD003"/>
    <s v="Polo Básico"/>
    <x v="3"/>
    <x v="0"/>
    <s v="Fernando Ruiz"/>
    <n v="1"/>
    <n v="55"/>
    <n v="0"/>
    <n v="55"/>
    <x v="2"/>
  </r>
  <r>
    <s v="ventas_arequipa_ene.xlsx"/>
    <x v="13"/>
    <x v="0"/>
    <s v="MOD001"/>
    <s v="Casaca Denim"/>
    <x v="3"/>
    <x v="1"/>
    <s v="Gabriela Núñez"/>
    <n v="5"/>
    <n v="160"/>
    <n v="0.1"/>
    <n v="720"/>
    <x v="2"/>
  </r>
  <r>
    <s v="ventas_arequipa_ene.xlsx"/>
    <x v="25"/>
    <x v="0"/>
    <s v="MOD003"/>
    <s v="Polo Básico"/>
    <x v="3"/>
    <x v="1"/>
    <s v="Julio Campos"/>
    <n v="4"/>
    <n v="55"/>
    <n v="0"/>
    <n v="220"/>
    <x v="0"/>
  </r>
  <r>
    <s v="ventas_arequipa_ene.xlsx"/>
    <x v="20"/>
    <x v="0"/>
    <s v="MOD002"/>
    <s v="Zapatillas Urbanas"/>
    <x v="3"/>
    <x v="1"/>
    <s v="Pedro Chávez"/>
    <n v="3"/>
    <n v="210"/>
    <n v="0.05"/>
    <n v="598.5"/>
    <x v="2"/>
  </r>
  <r>
    <s v="ventas_arequipa_ene.xlsx"/>
    <x v="16"/>
    <x v="0"/>
    <s v="BEL003"/>
    <s v="Shampoo Nutritivo"/>
    <x v="0"/>
    <x v="1"/>
    <s v="Iván Soto"/>
    <n v="3"/>
    <n v="45"/>
    <n v="0.05"/>
    <n v="128.25"/>
    <x v="0"/>
  </r>
  <r>
    <s v="ventas_arequipa_ene.xlsx"/>
    <x v="7"/>
    <x v="0"/>
    <s v="MOD002"/>
    <s v="Zapatillas Urbanas"/>
    <x v="3"/>
    <x v="0"/>
    <s v="Elena Vera"/>
    <n v="5"/>
    <n v="210"/>
    <n v="0.1"/>
    <n v="945"/>
    <x v="3"/>
  </r>
  <r>
    <s v="ventas_arequipa_ene.xlsx"/>
    <x v="11"/>
    <x v="0"/>
    <s v="BEL002"/>
    <s v="Crema Facial"/>
    <x v="0"/>
    <x v="1"/>
    <s v="Pedro Chávez"/>
    <n v="4"/>
    <n v="60"/>
    <n v="0.1"/>
    <n v="216"/>
    <x v="1"/>
  </r>
  <r>
    <s v="ventas_arequipa_ene.xlsx"/>
    <x v="9"/>
    <x v="0"/>
    <s v="HOG003"/>
    <s v="Sartén Antiadherente"/>
    <x v="2"/>
    <x v="0"/>
    <s v="Mónica Palomino"/>
    <n v="4"/>
    <n v="95"/>
    <n v="0.05"/>
    <n v="361"/>
    <x v="0"/>
  </r>
  <r>
    <s v="ventas_arequipa_ene.xlsx"/>
    <x v="26"/>
    <x v="0"/>
    <s v="BEL002"/>
    <s v="Crema Facial"/>
    <x v="0"/>
    <x v="1"/>
    <s v="César Salcedo"/>
    <n v="3"/>
    <n v="60"/>
    <n v="0"/>
    <n v="180"/>
    <x v="2"/>
  </r>
  <r>
    <s v="ventas_arequipa_ene.xlsx"/>
    <x v="25"/>
    <x v="0"/>
    <s v="DEP001"/>
    <s v="Mancuernas 5kg"/>
    <x v="4"/>
    <x v="0"/>
    <s v="Karina Aguilar"/>
    <n v="1"/>
    <n v="140"/>
    <n v="0"/>
    <n v="140"/>
    <x v="2"/>
  </r>
  <r>
    <s v="ventas_arequipa_ene.xlsx"/>
    <x v="15"/>
    <x v="0"/>
    <s v="TEC001"/>
    <s v="Laptop Lenovo"/>
    <x v="1"/>
    <x v="0"/>
    <s v="Alessandra Peña"/>
    <n v="5"/>
    <n v="2800"/>
    <n v="0.15"/>
    <n v="11900"/>
    <x v="3"/>
  </r>
  <r>
    <s v="ventas_arequipa_ene.xlsx"/>
    <x v="12"/>
    <x v="0"/>
    <s v="MOD001"/>
    <s v="Casaca Denim"/>
    <x v="3"/>
    <x v="0"/>
    <s v="Carlos Rojas"/>
    <n v="2"/>
    <n v="160"/>
    <n v="0.05"/>
    <n v="304"/>
    <x v="1"/>
  </r>
  <r>
    <s v="ventas_arequipa_ene.xlsx"/>
    <x v="9"/>
    <x v="0"/>
    <s v="DEP001"/>
    <s v="Mancuernas 5kg"/>
    <x v="4"/>
    <x v="1"/>
    <s v="Kevin Vargas"/>
    <n v="2"/>
    <n v="140"/>
    <n v="0"/>
    <n v="280"/>
    <x v="3"/>
  </r>
  <r>
    <s v="ventas_arequipa_ene.xlsx"/>
    <x v="27"/>
    <x v="0"/>
    <s v="BEL002"/>
    <s v="Crema Facial"/>
    <x v="0"/>
    <x v="0"/>
    <s v="Kevin Vargas"/>
    <n v="2"/>
    <n v="60"/>
    <n v="0.1"/>
    <n v="108"/>
    <x v="0"/>
  </r>
  <r>
    <s v="ventas_arequipa_ene.xlsx"/>
    <x v="26"/>
    <x v="0"/>
    <s v="BEL001"/>
    <s v="Perfume Floral"/>
    <x v="0"/>
    <x v="1"/>
    <s v="Sofía Navarro"/>
    <n v="1"/>
    <n v="170"/>
    <n v="0"/>
    <n v="170"/>
    <x v="0"/>
  </r>
  <r>
    <s v="ventas_arequipa_ene.xlsx"/>
    <x v="28"/>
    <x v="0"/>
    <s v="MOD001"/>
    <s v="Casaca Denim"/>
    <x v="3"/>
    <x v="1"/>
    <s v="Paola Arias"/>
    <n v="5"/>
    <n v="160"/>
    <n v="0"/>
    <n v="800"/>
    <x v="0"/>
  </r>
  <r>
    <s v="ventas_arequipa_ene.xlsx"/>
    <x v="9"/>
    <x v="0"/>
    <s v="TEC003"/>
    <s v="Audífonos JBL"/>
    <x v="1"/>
    <x v="0"/>
    <s v="Fiorella Díaz"/>
    <n v="1"/>
    <n v="220"/>
    <n v="0"/>
    <n v="220"/>
    <x v="2"/>
  </r>
  <r>
    <s v="ventas_arequipa_ene.xlsx"/>
    <x v="5"/>
    <x v="0"/>
    <s v="TEC001"/>
    <s v="Laptop Lenovo"/>
    <x v="1"/>
    <x v="1"/>
    <s v="Javier Núñez"/>
    <n v="3"/>
    <n v="2800"/>
    <n v="0.05"/>
    <n v="7980"/>
    <x v="3"/>
  </r>
  <r>
    <s v="ventas_arequipa_ene.xlsx"/>
    <x v="0"/>
    <x v="0"/>
    <s v="BEL001"/>
    <s v="Perfume Floral"/>
    <x v="0"/>
    <x v="1"/>
    <s v="Rosa Mendoza"/>
    <n v="5"/>
    <n v="170"/>
    <n v="0"/>
    <n v="850"/>
    <x v="3"/>
  </r>
  <r>
    <s v="ventas_arequipa_ene.xlsx"/>
    <x v="0"/>
    <x v="0"/>
    <s v="HOG002"/>
    <s v="Juego de Sábanas"/>
    <x v="2"/>
    <x v="1"/>
    <s v="Diana Salas"/>
    <n v="2"/>
    <n v="120"/>
    <n v="0"/>
    <n v="240"/>
    <x v="0"/>
  </r>
  <r>
    <s v="ventas_arequipa_ene.xlsx"/>
    <x v="4"/>
    <x v="0"/>
    <s v="HOG002"/>
    <s v="Juego de Sábanas"/>
    <x v="2"/>
    <x v="0"/>
    <s v="Carlos Rojas"/>
    <n v="5"/>
    <n v="120"/>
    <n v="0"/>
    <n v="600"/>
    <x v="1"/>
  </r>
  <r>
    <s v="ventas_arequipa_ene.xlsx"/>
    <x v="23"/>
    <x v="0"/>
    <s v="MOD001"/>
    <s v="Casaca Denim"/>
    <x v="3"/>
    <x v="0"/>
    <s v="Daniela Rivas"/>
    <n v="2"/>
    <n v="160"/>
    <n v="0"/>
    <n v="320"/>
    <x v="0"/>
  </r>
  <r>
    <s v="ventas_arequipa_ene.xlsx"/>
    <x v="2"/>
    <x v="0"/>
    <s v="HOG003"/>
    <s v="Sartén Antiadherente"/>
    <x v="2"/>
    <x v="0"/>
    <s v="Bruno Medina"/>
    <n v="2"/>
    <n v="95"/>
    <n v="0"/>
    <n v="190"/>
    <x v="0"/>
  </r>
  <r>
    <s v="ventas_arequipa_ene.xlsx"/>
    <x v="21"/>
    <x v="0"/>
    <s v="MOD001"/>
    <s v="Casaca Denim"/>
    <x v="3"/>
    <x v="1"/>
    <s v="César Salcedo"/>
    <n v="5"/>
    <n v="160"/>
    <n v="0.1"/>
    <n v="720"/>
    <x v="1"/>
  </r>
  <r>
    <s v="ventas_arequipa_ene.xlsx"/>
    <x v="29"/>
    <x v="0"/>
    <s v="MOD002"/>
    <s v="Zapatillas Urbanas"/>
    <x v="3"/>
    <x v="1"/>
    <s v="Julio Campos"/>
    <n v="5"/>
    <n v="210"/>
    <n v="0.05"/>
    <n v="997.5"/>
    <x v="2"/>
  </r>
  <r>
    <s v="ventas_arequipa_ene.xlsx"/>
    <x v="13"/>
    <x v="0"/>
    <s v="MOD003"/>
    <s v="Polo Básico"/>
    <x v="3"/>
    <x v="0"/>
    <s v="Lucía Pérez"/>
    <n v="2"/>
    <n v="55"/>
    <n v="0"/>
    <n v="110"/>
    <x v="3"/>
  </r>
  <r>
    <s v="ventas_arequipa_ene.xlsx"/>
    <x v="27"/>
    <x v="0"/>
    <s v="TEC002"/>
    <s v="Mouse Logitech"/>
    <x v="1"/>
    <x v="0"/>
    <s v="Fernando Ruiz"/>
    <n v="5"/>
    <n v="75"/>
    <n v="0"/>
    <n v="375"/>
    <x v="3"/>
  </r>
  <r>
    <s v="ventas_arequipa_ene.xlsx"/>
    <x v="7"/>
    <x v="0"/>
    <s v="MOD003"/>
    <s v="Polo Básico"/>
    <x v="3"/>
    <x v="0"/>
    <s v="Camila Paredes"/>
    <n v="5"/>
    <n v="55"/>
    <n v="0"/>
    <n v="275"/>
    <x v="0"/>
  </r>
  <r>
    <s v="ventas_arequipa_ene.xlsx"/>
    <x v="27"/>
    <x v="0"/>
    <s v="DEP003"/>
    <s v="Tomatodo Deportivo"/>
    <x v="4"/>
    <x v="0"/>
    <s v="María López"/>
    <n v="2"/>
    <n v="35"/>
    <n v="0.05"/>
    <n v="66.5"/>
    <x v="1"/>
  </r>
  <r>
    <s v="ventas_arequipa_ene.xlsx"/>
    <x v="30"/>
    <x v="0"/>
    <s v="BEL002"/>
    <s v="Crema Facial"/>
    <x v="0"/>
    <x v="1"/>
    <s v="Kevin Vargas"/>
    <n v="1"/>
    <n v="60"/>
    <n v="0.15"/>
    <n v="51"/>
    <x v="2"/>
  </r>
  <r>
    <s v="ventas_arequipa_ene.xlsx"/>
    <x v="28"/>
    <x v="0"/>
    <s v="DEP003"/>
    <s v="Tomatodo Deportivo"/>
    <x v="4"/>
    <x v="0"/>
    <s v="Omar Cárdenas"/>
    <n v="4"/>
    <n v="35"/>
    <n v="0"/>
    <n v="140"/>
    <x v="3"/>
  </r>
  <r>
    <s v="ventas_arequipa_ene.xlsx"/>
    <x v="13"/>
    <x v="0"/>
    <s v="HOG003"/>
    <s v="Sartén Antiadherente"/>
    <x v="2"/>
    <x v="0"/>
    <s v="Julio Campos"/>
    <n v="5"/>
    <n v="95"/>
    <n v="0"/>
    <n v="475"/>
    <x v="3"/>
  </r>
  <r>
    <s v="ventas_arequipa_ene.xlsx"/>
    <x v="21"/>
    <x v="0"/>
    <s v="MOD002"/>
    <s v="Zapatillas Urbanas"/>
    <x v="3"/>
    <x v="1"/>
    <s v="Paola Arias"/>
    <n v="2"/>
    <n v="210"/>
    <n v="0.1"/>
    <n v="378"/>
    <x v="3"/>
  </r>
  <r>
    <s v="ventas_arequipa_ene.xlsx"/>
    <x v="14"/>
    <x v="0"/>
    <s v="MOD002"/>
    <s v="Zapatillas Urbanas"/>
    <x v="3"/>
    <x v="1"/>
    <s v="Omar Cárdenas"/>
    <n v="2"/>
    <n v="210"/>
    <n v="0"/>
    <n v="420"/>
    <x v="1"/>
  </r>
  <r>
    <s v="ventas_arequipa_ene.xlsx"/>
    <x v="19"/>
    <x v="0"/>
    <s v="TEC001"/>
    <s v="Laptop Lenovo"/>
    <x v="1"/>
    <x v="1"/>
    <s v="María López"/>
    <n v="4"/>
    <n v="2800"/>
    <n v="0.05"/>
    <n v="10640"/>
    <x v="1"/>
  </r>
  <r>
    <s v="ventas_arequipa_ene.xlsx"/>
    <x v="16"/>
    <x v="0"/>
    <s v="MOD003"/>
    <s v="Polo Básico"/>
    <x v="3"/>
    <x v="1"/>
    <s v="Carlos Rojas"/>
    <n v="4"/>
    <n v="55"/>
    <n v="0.05"/>
    <n v="209"/>
    <x v="3"/>
  </r>
  <r>
    <s v="ventas_arequipa_ene.xlsx"/>
    <x v="13"/>
    <x v="0"/>
    <s v="MOD001"/>
    <s v="Casaca Denim"/>
    <x v="3"/>
    <x v="1"/>
    <s v="Pedro Chávez"/>
    <n v="5"/>
    <n v="160"/>
    <n v="0"/>
    <n v="800"/>
    <x v="2"/>
  </r>
  <r>
    <s v="ventas_arequipa_ene.xlsx"/>
    <x v="26"/>
    <x v="0"/>
    <s v="DEP003"/>
    <s v="Tomatodo Deportivo"/>
    <x v="4"/>
    <x v="0"/>
    <s v="Alessandra Peña"/>
    <n v="5"/>
    <n v="35"/>
    <n v="0"/>
    <n v="175"/>
    <x v="2"/>
  </r>
  <r>
    <s v="ventas_arequipa_ene.xlsx"/>
    <x v="12"/>
    <x v="0"/>
    <s v="BEL003"/>
    <s v="Shampoo Nutritivo"/>
    <x v="0"/>
    <x v="0"/>
    <s v="Elena Vera"/>
    <n v="5"/>
    <n v="45"/>
    <n v="0"/>
    <n v="225"/>
    <x v="2"/>
  </r>
  <r>
    <s v="ventas_arequipa_ene.xlsx"/>
    <x v="27"/>
    <x v="0"/>
    <s v="MOD003"/>
    <s v="Polo Básico"/>
    <x v="3"/>
    <x v="0"/>
    <s v="César Salcedo"/>
    <n v="4"/>
    <n v="55"/>
    <n v="0.05"/>
    <n v="209"/>
    <x v="3"/>
  </r>
  <r>
    <s v="ventas_arequipa_ene.xlsx"/>
    <x v="6"/>
    <x v="0"/>
    <s v="DEP003"/>
    <s v="Tomatodo Deportivo"/>
    <x v="4"/>
    <x v="1"/>
    <s v="Kevin Vargas"/>
    <n v="3"/>
    <n v="35"/>
    <n v="0.05"/>
    <n v="99.75"/>
    <x v="3"/>
  </r>
  <r>
    <s v="ventas_arequipa_ene.xlsx"/>
    <x v="16"/>
    <x v="0"/>
    <s v="HOG001"/>
    <s v="Licuadora Oster"/>
    <x v="2"/>
    <x v="1"/>
    <s v="Omar Cárdenas"/>
    <n v="2"/>
    <n v="180"/>
    <n v="0"/>
    <n v="360"/>
    <x v="1"/>
  </r>
  <r>
    <s v="ventas_arequipa_ene.xlsx"/>
    <x v="2"/>
    <x v="0"/>
    <s v="MOD003"/>
    <s v="Polo Básico"/>
    <x v="3"/>
    <x v="0"/>
    <s v="Lucía Pérez"/>
    <n v="4"/>
    <n v="55"/>
    <n v="0.05"/>
    <n v="209"/>
    <x v="0"/>
  </r>
  <r>
    <s v="ventas_arequipa_ene.xlsx"/>
    <x v="29"/>
    <x v="0"/>
    <s v="DEP001"/>
    <s v="Mancuernas 5kg"/>
    <x v="4"/>
    <x v="1"/>
    <s v="Camila Paredes"/>
    <n v="4"/>
    <n v="140"/>
    <n v="0.1"/>
    <n v="504"/>
    <x v="1"/>
  </r>
  <r>
    <s v="ventas_arequipa_ene.xlsx"/>
    <x v="5"/>
    <x v="0"/>
    <s v="BEL001"/>
    <s v="Perfume Floral"/>
    <x v="0"/>
    <x v="1"/>
    <s v="Javier Núñez"/>
    <n v="2"/>
    <n v="170"/>
    <n v="0.1"/>
    <n v="306"/>
    <x v="0"/>
  </r>
  <r>
    <s v="ventas_arequipa_feb.xlsx"/>
    <x v="31"/>
    <x v="0"/>
    <s v="BEL001"/>
    <s v="Perfume Floral"/>
    <x v="0"/>
    <x v="0"/>
    <s v="Jorge Castillo"/>
    <n v="3"/>
    <n v="170"/>
    <n v="0"/>
    <n v="510"/>
    <x v="1"/>
  </r>
  <r>
    <s v="ventas_arequipa_feb.xlsx"/>
    <x v="32"/>
    <x v="0"/>
    <s v="BEL001"/>
    <s v="Perfume Floral"/>
    <x v="0"/>
    <x v="1"/>
    <s v="Alessandra Peña"/>
    <n v="1"/>
    <n v="170"/>
    <n v="0"/>
    <n v="170"/>
    <x v="3"/>
  </r>
  <r>
    <s v="ventas_arequipa_feb.xlsx"/>
    <x v="33"/>
    <x v="0"/>
    <s v="BEL003"/>
    <s v="Shampoo Nutritivo"/>
    <x v="0"/>
    <x v="0"/>
    <s v="Kevin Vargas"/>
    <n v="3"/>
    <n v="45"/>
    <n v="0.1"/>
    <n v="121.5"/>
    <x v="1"/>
  </r>
  <r>
    <s v="ventas_arequipa_feb.xlsx"/>
    <x v="34"/>
    <x v="0"/>
    <s v="MOD001"/>
    <s v="Casaca Denim"/>
    <x v="3"/>
    <x v="0"/>
    <s v="Daniela Rivas"/>
    <n v="4"/>
    <n v="160"/>
    <n v="0"/>
    <n v="640"/>
    <x v="2"/>
  </r>
  <r>
    <s v="ventas_arequipa_feb.xlsx"/>
    <x v="35"/>
    <x v="0"/>
    <s v="TEC002"/>
    <s v="Mouse Logitech"/>
    <x v="1"/>
    <x v="1"/>
    <s v="Omar Cárdenas"/>
    <n v="1"/>
    <n v="75"/>
    <n v="0.15"/>
    <n v="63.75"/>
    <x v="3"/>
  </r>
  <r>
    <s v="ventas_arequipa_feb.xlsx"/>
    <x v="34"/>
    <x v="0"/>
    <s v="DEP003"/>
    <s v="Tomatodo Deportivo"/>
    <x v="4"/>
    <x v="0"/>
    <s v="Javier Núñez"/>
    <n v="4"/>
    <n v="35"/>
    <n v="0"/>
    <n v="140"/>
    <x v="2"/>
  </r>
  <r>
    <s v="ventas_arequipa_feb.xlsx"/>
    <x v="36"/>
    <x v="0"/>
    <s v="MOD002"/>
    <s v="Zapatillas Urbanas"/>
    <x v="3"/>
    <x v="0"/>
    <s v="Diana Salas"/>
    <n v="4"/>
    <n v="210"/>
    <n v="0"/>
    <n v="840"/>
    <x v="0"/>
  </r>
  <r>
    <s v="ventas_arequipa_feb.xlsx"/>
    <x v="37"/>
    <x v="0"/>
    <s v="TEC001"/>
    <s v="Laptop Lenovo"/>
    <x v="1"/>
    <x v="1"/>
    <s v="César Salcedo"/>
    <n v="5"/>
    <n v="2800"/>
    <n v="0.05"/>
    <n v="13300"/>
    <x v="0"/>
  </r>
  <r>
    <s v="ventas_arequipa_feb.xlsx"/>
    <x v="31"/>
    <x v="0"/>
    <s v="MOD002"/>
    <s v="Zapatillas Urbanas"/>
    <x v="3"/>
    <x v="1"/>
    <s v="César Salcedo"/>
    <n v="5"/>
    <n v="210"/>
    <n v="0"/>
    <n v="1050"/>
    <x v="3"/>
  </r>
  <r>
    <s v="ventas_arequipa_feb.xlsx"/>
    <x v="38"/>
    <x v="0"/>
    <s v="TEC002"/>
    <s v="Mouse Logitech"/>
    <x v="1"/>
    <x v="1"/>
    <s v="Cliente no registrado"/>
    <n v="5"/>
    <n v="75"/>
    <n v="0.1"/>
    <n v="337.5"/>
    <x v="2"/>
  </r>
  <r>
    <s v="ventas_arequipa_feb.xlsx"/>
    <x v="35"/>
    <x v="0"/>
    <s v="MOD002"/>
    <s v="Zapatillas Urbanas"/>
    <x v="3"/>
    <x v="1"/>
    <s v="Iván Soto"/>
    <n v="4"/>
    <n v="210"/>
    <n v="0.1"/>
    <n v="756"/>
    <x v="0"/>
  </r>
  <r>
    <s v="ventas_arequipa_feb.xlsx"/>
    <x v="39"/>
    <x v="0"/>
    <s v="HOG001"/>
    <s v="Licuadora Oster"/>
    <x v="2"/>
    <x v="0"/>
    <s v="Renato Flores"/>
    <n v="3"/>
    <n v="180"/>
    <n v="0"/>
    <n v="540"/>
    <x v="1"/>
  </r>
  <r>
    <s v="ventas_arequipa_feb.xlsx"/>
    <x v="35"/>
    <x v="0"/>
    <s v="MOD001"/>
    <s v="Casaca Denim"/>
    <x v="3"/>
    <x v="0"/>
    <s v="Jorge Castillo"/>
    <n v="5"/>
    <n v="160"/>
    <n v="0"/>
    <n v="800"/>
    <x v="3"/>
  </r>
  <r>
    <s v="ventas_arequipa_feb.xlsx"/>
    <x v="36"/>
    <x v="0"/>
    <s v="DEP002"/>
    <s v="Mat de Yoga"/>
    <x v="4"/>
    <x v="1"/>
    <s v="Ana Torres"/>
    <n v="1"/>
    <n v="85"/>
    <n v="0"/>
    <n v="85"/>
    <x v="1"/>
  </r>
  <r>
    <s v="ventas_arequipa_feb.xlsx"/>
    <x v="40"/>
    <x v="0"/>
    <s v="DEP003"/>
    <s v="Tomatodo Deportivo"/>
    <x v="4"/>
    <x v="1"/>
    <s v="Paola Arias"/>
    <n v="5"/>
    <n v="35"/>
    <n v="0.05"/>
    <n v="166.25"/>
    <x v="0"/>
  </r>
  <r>
    <s v="ventas_arequipa_feb.xlsx"/>
    <x v="35"/>
    <x v="0"/>
    <s v="HOG003"/>
    <s v="Sartén Antiadherente"/>
    <x v="2"/>
    <x v="0"/>
    <s v="Karina Aguilar"/>
    <n v="1"/>
    <n v="95"/>
    <n v="0.1"/>
    <n v="85.5"/>
    <x v="3"/>
  </r>
  <r>
    <s v="ventas_arequipa_feb.xlsx"/>
    <x v="41"/>
    <x v="0"/>
    <s v="DEP002"/>
    <s v="Mat de Yoga"/>
    <x v="4"/>
    <x v="1"/>
    <s v="Renato Flores"/>
    <n v="3"/>
    <n v="85"/>
    <n v="0"/>
    <n v="242.25"/>
    <x v="1"/>
  </r>
  <r>
    <s v="ventas_arequipa_feb.xlsx"/>
    <x v="42"/>
    <x v="0"/>
    <s v="HOG002"/>
    <s v="Juego de Sábanas"/>
    <x v="2"/>
    <x v="1"/>
    <s v="Kevin Vargas"/>
    <n v="3"/>
    <n v="120"/>
    <n v="0"/>
    <n v="360"/>
    <x v="3"/>
  </r>
  <r>
    <s v="ventas_arequipa_feb.xlsx"/>
    <x v="38"/>
    <x v="0"/>
    <s v="TEC002"/>
    <s v="Mouse Logitech"/>
    <x v="1"/>
    <x v="1"/>
    <s v="Omar Cárdenas"/>
    <n v="4"/>
    <n v="75"/>
    <n v="0"/>
    <n v="300"/>
    <x v="3"/>
  </r>
  <r>
    <s v="ventas_arequipa_feb.xlsx"/>
    <x v="41"/>
    <x v="0"/>
    <s v="TEC003"/>
    <s v="Audífonos JBL"/>
    <x v="1"/>
    <x v="0"/>
    <s v="Daniela Rivas"/>
    <n v="2"/>
    <n v="220"/>
    <n v="0.05"/>
    <n v="418"/>
    <x v="1"/>
  </r>
  <r>
    <s v="ventas_arequipa_feb.xlsx"/>
    <x v="37"/>
    <x v="0"/>
    <s v="DEP003"/>
    <s v="Tomatodo Deportivo"/>
    <x v="4"/>
    <x v="1"/>
    <s v="Ana Torres"/>
    <n v="4"/>
    <n v="35"/>
    <n v="0"/>
    <n v="140"/>
    <x v="1"/>
  </r>
  <r>
    <s v="ventas_arequipa_feb.xlsx"/>
    <x v="43"/>
    <x v="0"/>
    <s v="MOD002"/>
    <s v="Zapatillas Urbanas"/>
    <x v="3"/>
    <x v="1"/>
    <s v="Kevin Vargas"/>
    <n v="4"/>
    <n v="210"/>
    <n v="0.1"/>
    <n v="756"/>
    <x v="2"/>
  </r>
  <r>
    <s v="ventas_arequipa_feb.xlsx"/>
    <x v="44"/>
    <x v="0"/>
    <s v="TEC002"/>
    <s v="Mouse Logitech"/>
    <x v="1"/>
    <x v="0"/>
    <s v="Marco Espinoza"/>
    <n v="5"/>
    <n v="75"/>
    <n v="0"/>
    <n v="356.25"/>
    <x v="2"/>
  </r>
  <r>
    <s v="ventas_arequipa_feb.xlsx"/>
    <x v="45"/>
    <x v="0"/>
    <s v="HOG001"/>
    <s v="Licuadora Oster"/>
    <x v="2"/>
    <x v="1"/>
    <s v="Cliente no registrado"/>
    <n v="3"/>
    <n v="180"/>
    <n v="0.15"/>
    <n v="459"/>
    <x v="0"/>
  </r>
  <r>
    <s v="ventas_arequipa_feb.xlsx"/>
    <x v="46"/>
    <x v="0"/>
    <s v="BEL001"/>
    <s v="Perfume Floral"/>
    <x v="0"/>
    <x v="1"/>
    <s v="Marco Espinoza"/>
    <n v="5"/>
    <n v="170"/>
    <n v="0.1"/>
    <n v="765"/>
    <x v="0"/>
  </r>
  <r>
    <s v="ventas_arequipa_feb.xlsx"/>
    <x v="47"/>
    <x v="0"/>
    <s v="DEP001"/>
    <s v="Mancuernas 5kg"/>
    <x v="4"/>
    <x v="1"/>
    <s v="Fiorella Díaz"/>
    <n v="2"/>
    <n v="140"/>
    <n v="0.15"/>
    <n v="238"/>
    <x v="0"/>
  </r>
  <r>
    <s v="ventas_arequipa_feb.xlsx"/>
    <x v="37"/>
    <x v="0"/>
    <s v="DEP002"/>
    <s v="Mat de Yoga"/>
    <x v="4"/>
    <x v="0"/>
    <s v="Alessandra Peña"/>
    <n v="3"/>
    <n v="85"/>
    <n v="0.05"/>
    <n v="242.25"/>
    <x v="0"/>
  </r>
  <r>
    <s v="ventas_arequipa_feb.xlsx"/>
    <x v="40"/>
    <x v="0"/>
    <s v="BEL001"/>
    <s v="Perfume Floral"/>
    <x v="0"/>
    <x v="1"/>
    <s v="Cliente no registrado"/>
    <n v="4"/>
    <n v="170"/>
    <n v="0.1"/>
    <n v="612"/>
    <x v="2"/>
  </r>
  <r>
    <s v="ventas_arequipa_feb.xlsx"/>
    <x v="48"/>
    <x v="0"/>
    <s v="TEC001"/>
    <s v="Laptop Lenovo"/>
    <x v="1"/>
    <x v="1"/>
    <s v="César Salcedo"/>
    <n v="1"/>
    <n v="2800"/>
    <n v="0"/>
    <n v="2800"/>
    <x v="0"/>
  </r>
  <r>
    <s v="ventas_arequipa_feb.xlsx"/>
    <x v="49"/>
    <x v="0"/>
    <s v="TEC002"/>
    <s v="Mouse Logitech"/>
    <x v="1"/>
    <x v="1"/>
    <s v="Carlos Rojas"/>
    <n v="1"/>
    <n v="75"/>
    <n v="0"/>
    <n v="71.25"/>
    <x v="0"/>
  </r>
  <r>
    <s v="ventas_arequipa_feb.xlsx"/>
    <x v="31"/>
    <x v="0"/>
    <s v="DEP003"/>
    <s v="Tomatodo Deportivo"/>
    <x v="4"/>
    <x v="1"/>
    <s v="Julio Campos"/>
    <n v="1"/>
    <n v="35"/>
    <n v="0"/>
    <n v="33.25"/>
    <x v="3"/>
  </r>
  <r>
    <s v="ventas_arequipa_feb.xlsx"/>
    <x v="50"/>
    <x v="0"/>
    <s v="HOG001"/>
    <s v="Licuadora Oster"/>
    <x v="2"/>
    <x v="0"/>
    <s v="Andrés Romero"/>
    <n v="3"/>
    <n v="180"/>
    <n v="0.05"/>
    <n v="513"/>
    <x v="0"/>
  </r>
  <r>
    <s v="ventas_arequipa_feb.xlsx"/>
    <x v="51"/>
    <x v="0"/>
    <s v="BEL003"/>
    <s v="Shampoo Nutritivo"/>
    <x v="0"/>
    <x v="1"/>
    <s v="Karina Aguilar"/>
    <n v="1"/>
    <n v="45"/>
    <n v="0"/>
    <n v="45"/>
    <x v="3"/>
  </r>
  <r>
    <s v="ventas_arequipa_feb.xlsx"/>
    <x v="52"/>
    <x v="0"/>
    <s v="BEL001"/>
    <s v="Perfume Floral"/>
    <x v="0"/>
    <x v="1"/>
    <s v="Lucía Pérez"/>
    <n v="3"/>
    <n v="170"/>
    <n v="0.05"/>
    <n v="484.5"/>
    <x v="0"/>
  </r>
  <r>
    <s v="ventas_arequipa_feb.xlsx"/>
    <x v="53"/>
    <x v="0"/>
    <s v="MOD001"/>
    <s v="Casaca Denim"/>
    <x v="3"/>
    <x v="1"/>
    <s v="Cliente no registrado"/>
    <n v="1"/>
    <n v="160"/>
    <n v="0"/>
    <n v="160"/>
    <x v="0"/>
  </r>
  <r>
    <s v="ventas_arequipa_feb.xlsx"/>
    <x v="35"/>
    <x v="0"/>
    <s v="MOD003"/>
    <s v="Polo Básico"/>
    <x v="3"/>
    <x v="0"/>
    <s v="Cliente no registrado"/>
    <n v="2"/>
    <n v="55"/>
    <n v="0"/>
    <n v="110"/>
    <x v="3"/>
  </r>
  <r>
    <s v="ventas_arequipa_feb.xlsx"/>
    <x v="44"/>
    <x v="0"/>
    <s v="DEP002"/>
    <s v="Mat de Yoga"/>
    <x v="4"/>
    <x v="1"/>
    <s v="Daniela Rivas"/>
    <n v="2"/>
    <n v="85"/>
    <n v="0"/>
    <n v="170"/>
    <x v="0"/>
  </r>
  <r>
    <s v="ventas_arequipa_feb.xlsx"/>
    <x v="33"/>
    <x v="0"/>
    <s v="MOD002"/>
    <s v="Zapatillas Urbanas"/>
    <x v="3"/>
    <x v="0"/>
    <s v="Kevin Vargas"/>
    <n v="5"/>
    <n v="210"/>
    <n v="0.05"/>
    <n v="997.5"/>
    <x v="1"/>
  </r>
  <r>
    <s v="ventas_arequipa_feb.xlsx"/>
    <x v="52"/>
    <x v="0"/>
    <s v="DEP003"/>
    <s v="Tomatodo Deportivo"/>
    <x v="4"/>
    <x v="0"/>
    <s v="Renato Flores"/>
    <n v="2"/>
    <n v="35"/>
    <n v="0"/>
    <n v="70"/>
    <x v="2"/>
  </r>
  <r>
    <s v="ventas_arequipa_feb.xlsx"/>
    <x v="54"/>
    <x v="0"/>
    <s v="DEP001"/>
    <s v="Mancuernas 5kg"/>
    <x v="4"/>
    <x v="0"/>
    <s v="Mónica Palomino"/>
    <n v="3"/>
    <n v="140"/>
    <n v="0"/>
    <n v="420"/>
    <x v="1"/>
  </r>
  <r>
    <s v="ventas_arequipa_feb.xlsx"/>
    <x v="47"/>
    <x v="0"/>
    <s v="TEC002"/>
    <s v="Mouse Logitech"/>
    <x v="1"/>
    <x v="1"/>
    <s v="César Salcedo"/>
    <n v="3"/>
    <n v="75"/>
    <n v="0"/>
    <n v="225"/>
    <x v="0"/>
  </r>
  <r>
    <s v="ventas_arequipa_feb.xlsx"/>
    <x v="52"/>
    <x v="0"/>
    <s v="HOG003"/>
    <s v="Sartén Antiadherente"/>
    <x v="2"/>
    <x v="0"/>
    <s v="Cliente no registrado"/>
    <n v="1"/>
    <n v="95"/>
    <n v="0"/>
    <n v="95"/>
    <x v="0"/>
  </r>
  <r>
    <s v="ventas_arequipa_feb.xlsx"/>
    <x v="50"/>
    <x v="0"/>
    <s v="MOD002"/>
    <s v="Zapatillas Urbanas"/>
    <x v="3"/>
    <x v="0"/>
    <s v="Lucía Pérez"/>
    <n v="5"/>
    <n v="210"/>
    <n v="0"/>
    <n v="1050"/>
    <x v="0"/>
  </r>
  <r>
    <s v="ventas_arequipa_feb.xlsx"/>
    <x v="48"/>
    <x v="0"/>
    <s v="MOD002"/>
    <s v="Zapatillas Urbanas"/>
    <x v="3"/>
    <x v="1"/>
    <s v="Lucía Pérez"/>
    <n v="1"/>
    <n v="210"/>
    <n v="0"/>
    <n v="210"/>
    <x v="2"/>
  </r>
  <r>
    <s v="ventas_arequipa_feb.xlsx"/>
    <x v="54"/>
    <x v="0"/>
    <s v="BEL001"/>
    <s v="Perfume Floral"/>
    <x v="0"/>
    <x v="0"/>
    <s v="María López"/>
    <n v="4"/>
    <n v="170"/>
    <n v="0.1"/>
    <n v="612"/>
    <x v="2"/>
  </r>
  <r>
    <s v="ventas_arequipa_feb.xlsx"/>
    <x v="33"/>
    <x v="0"/>
    <s v="TEC001"/>
    <s v="Laptop Lenovo"/>
    <x v="1"/>
    <x v="1"/>
    <s v="Diana Salas"/>
    <n v="3"/>
    <n v="2800"/>
    <n v="0"/>
    <n v="8400"/>
    <x v="1"/>
  </r>
  <r>
    <s v="ventas_arequipa_feb.xlsx"/>
    <x v="36"/>
    <x v="0"/>
    <s v="MOD003"/>
    <s v="Polo Básico"/>
    <x v="3"/>
    <x v="0"/>
    <s v="Camila Paredes"/>
    <n v="2"/>
    <n v="55"/>
    <n v="0"/>
    <n v="99"/>
    <x v="3"/>
  </r>
  <r>
    <s v="ventas_arequipa_feb.xlsx"/>
    <x v="52"/>
    <x v="0"/>
    <s v="HOG002"/>
    <s v="Juego de Sábanas"/>
    <x v="2"/>
    <x v="1"/>
    <s v="Marco Espinoza"/>
    <n v="4"/>
    <n v="120"/>
    <n v="0.05"/>
    <n v="456"/>
    <x v="1"/>
  </r>
  <r>
    <s v="ventas_arequipa_feb.xlsx"/>
    <x v="35"/>
    <x v="0"/>
    <s v="DEP003"/>
    <s v="Tomatodo Deportivo"/>
    <x v="4"/>
    <x v="1"/>
    <s v="Gabriela Núñez"/>
    <n v="5"/>
    <n v="35"/>
    <n v="0"/>
    <n v="175"/>
    <x v="1"/>
  </r>
  <r>
    <s v="ventas_arequipa_feb.xlsx"/>
    <x v="49"/>
    <x v="0"/>
    <s v="HOG002"/>
    <s v="Juego de Sábanas"/>
    <x v="2"/>
    <x v="0"/>
    <s v="Mónica Palomino"/>
    <n v="3"/>
    <n v="120"/>
    <n v="0"/>
    <n v="342"/>
    <x v="1"/>
  </r>
  <r>
    <s v="ventas_arequipa_feb.xlsx"/>
    <x v="55"/>
    <x v="0"/>
    <s v="MOD001"/>
    <s v="Casaca Denim"/>
    <x v="3"/>
    <x v="0"/>
    <s v="Javier Núñez"/>
    <n v="5"/>
    <n v="160"/>
    <n v="0"/>
    <n v="800"/>
    <x v="0"/>
  </r>
  <r>
    <s v="ventas_arequipa_feb.xlsx"/>
    <x v="56"/>
    <x v="0"/>
    <s v="BEL003"/>
    <s v="Shampoo Nutritivo"/>
    <x v="0"/>
    <x v="0"/>
    <s v="Ana Torres"/>
    <n v="2"/>
    <n v="45"/>
    <n v="0"/>
    <n v="90"/>
    <x v="2"/>
  </r>
  <r>
    <s v="ventas_arequipa_feb.xlsx"/>
    <x v="34"/>
    <x v="0"/>
    <s v="TEC002"/>
    <s v="Mouse Logitech"/>
    <x v="1"/>
    <x v="1"/>
    <s v="Bruno Medina"/>
    <n v="1"/>
    <n v="75"/>
    <n v="0.05"/>
    <n v="71.25"/>
    <x v="0"/>
  </r>
  <r>
    <s v="ventas_arequipa_feb.xlsx"/>
    <x v="53"/>
    <x v="0"/>
    <s v="TEC003"/>
    <s v="Audífonos JBL"/>
    <x v="1"/>
    <x v="1"/>
    <s v="Diana Salas"/>
    <n v="5"/>
    <n v="220"/>
    <n v="0"/>
    <n v="1100"/>
    <x v="2"/>
  </r>
  <r>
    <s v="ventas_arequipa_feb.xlsx"/>
    <x v="35"/>
    <x v="0"/>
    <s v="TEC002"/>
    <s v="Mouse Logitech"/>
    <x v="1"/>
    <x v="0"/>
    <s v="María López"/>
    <n v="5"/>
    <n v="75"/>
    <n v="0"/>
    <n v="337.5"/>
    <x v="0"/>
  </r>
  <r>
    <s v="ventas_arequipa_feb.xlsx"/>
    <x v="55"/>
    <x v="0"/>
    <s v="DEP001"/>
    <s v="Mancuernas 5kg"/>
    <x v="4"/>
    <x v="0"/>
    <s v="Miguel Herrera"/>
    <n v="3"/>
    <n v="140"/>
    <n v="0"/>
    <n v="420"/>
    <x v="2"/>
  </r>
  <r>
    <s v="ventas_arequipa_feb.xlsx"/>
    <x v="38"/>
    <x v="0"/>
    <s v="DEP001"/>
    <s v="Mancuernas 5kg"/>
    <x v="4"/>
    <x v="1"/>
    <s v="Sofía Navarro"/>
    <n v="2"/>
    <n v="140"/>
    <n v="0"/>
    <n v="280"/>
    <x v="3"/>
  </r>
  <r>
    <s v="ventas_arequipa_feb.xlsx"/>
    <x v="46"/>
    <x v="0"/>
    <s v="MOD001"/>
    <s v="Casaca Denim"/>
    <x v="3"/>
    <x v="1"/>
    <s v="Miguel Herrera"/>
    <n v="5"/>
    <n v="160"/>
    <n v="0.05"/>
    <n v="760"/>
    <x v="0"/>
  </r>
  <r>
    <s v="ventas_arequipa_feb.xlsx"/>
    <x v="39"/>
    <x v="0"/>
    <s v="BEL003"/>
    <s v="Shampoo Nutritivo"/>
    <x v="0"/>
    <x v="1"/>
    <s v="Daniela Rivas"/>
    <n v="2"/>
    <n v="45"/>
    <n v="0"/>
    <n v="90"/>
    <x v="3"/>
  </r>
  <r>
    <s v="ventas_arequipa_feb.xlsx"/>
    <x v="55"/>
    <x v="0"/>
    <s v="HOG001"/>
    <s v="Licuadora Oster"/>
    <x v="2"/>
    <x v="0"/>
    <s v="Paola Arias"/>
    <n v="3"/>
    <n v="180"/>
    <n v="0"/>
    <n v="540"/>
    <x v="3"/>
  </r>
  <r>
    <s v="ventas_arequipa_feb.xlsx"/>
    <x v="41"/>
    <x v="0"/>
    <s v="HOG003"/>
    <s v="Sartén Antiadherente"/>
    <x v="2"/>
    <x v="1"/>
    <s v="María López"/>
    <n v="3"/>
    <n v="95"/>
    <n v="0"/>
    <n v="285"/>
    <x v="0"/>
  </r>
  <r>
    <s v="ventas_arequipa_feb.xlsx"/>
    <x v="54"/>
    <x v="0"/>
    <s v="BEL001"/>
    <s v="Perfume Floral"/>
    <x v="0"/>
    <x v="0"/>
    <s v="Daniela Rivas"/>
    <n v="2"/>
    <n v="170"/>
    <n v="0.1"/>
    <n v="306"/>
    <x v="1"/>
  </r>
  <r>
    <s v="ventas_arequipa_feb.xlsx"/>
    <x v="47"/>
    <x v="0"/>
    <s v="DEP002"/>
    <s v="Mat de Yoga"/>
    <x v="4"/>
    <x v="1"/>
    <s v="Cliente no registrado"/>
    <n v="1"/>
    <n v="85"/>
    <n v="0"/>
    <n v="76.5"/>
    <x v="3"/>
  </r>
  <r>
    <s v="ventas_arequipa_feb.xlsx"/>
    <x v="52"/>
    <x v="0"/>
    <s v="DEP003"/>
    <s v="Tomatodo Deportivo"/>
    <x v="4"/>
    <x v="0"/>
    <s v="Julio Campos"/>
    <n v="2"/>
    <n v="35"/>
    <n v="0.1"/>
    <n v="63"/>
    <x v="3"/>
  </r>
  <r>
    <s v="ventas_arequipa_feb.xlsx"/>
    <x v="39"/>
    <x v="0"/>
    <s v="DEP001"/>
    <s v="Mancuernas 5kg"/>
    <x v="4"/>
    <x v="0"/>
    <s v="Gabriela Núñez"/>
    <n v="2"/>
    <n v="140"/>
    <n v="0"/>
    <n v="280"/>
    <x v="1"/>
  </r>
  <r>
    <s v="ventas_arequipa_feb.xlsx"/>
    <x v="39"/>
    <x v="0"/>
    <s v="HOG003"/>
    <s v="Sartén Antiadherente"/>
    <x v="2"/>
    <x v="1"/>
    <s v="Rosa Mendoza"/>
    <n v="5"/>
    <n v="95"/>
    <n v="0"/>
    <n v="475"/>
    <x v="3"/>
  </r>
  <r>
    <s v="ventas_arequipa_feb.xlsx"/>
    <x v="31"/>
    <x v="0"/>
    <s v="TEC003"/>
    <s v="Audífonos JBL"/>
    <x v="1"/>
    <x v="1"/>
    <s v="Iván Soto"/>
    <n v="5"/>
    <n v="220"/>
    <n v="0.1"/>
    <n v="990"/>
    <x v="0"/>
  </r>
  <r>
    <s v="ventas_arequipa_feb.xlsx"/>
    <x v="51"/>
    <x v="0"/>
    <s v="TEC001"/>
    <s v="Laptop Lenovo"/>
    <x v="1"/>
    <x v="0"/>
    <s v="César Salcedo"/>
    <n v="4"/>
    <n v="2800"/>
    <n v="0"/>
    <n v="11200"/>
    <x v="2"/>
  </r>
  <r>
    <s v="ventas_arequipa_feb.xlsx"/>
    <x v="45"/>
    <x v="0"/>
    <s v="MOD002"/>
    <s v="Zapatillas Urbanas"/>
    <x v="3"/>
    <x v="1"/>
    <s v="Daniela Rivas"/>
    <n v="3"/>
    <n v="210"/>
    <n v="0"/>
    <n v="630"/>
    <x v="0"/>
  </r>
  <r>
    <s v="ventas_arequipa_feb.xlsx"/>
    <x v="51"/>
    <x v="0"/>
    <s v="TEC002"/>
    <s v="Mouse Logitech"/>
    <x v="1"/>
    <x v="0"/>
    <s v="Elena Vera"/>
    <n v="5"/>
    <n v="75"/>
    <n v="0.05"/>
    <n v="356.25"/>
    <x v="2"/>
  </r>
  <r>
    <s v="ventas_arequipa_feb.xlsx"/>
    <x v="47"/>
    <x v="0"/>
    <s v="HOG003"/>
    <s v="Sartén Antiadherente"/>
    <x v="2"/>
    <x v="1"/>
    <s v="Camila Paredes"/>
    <n v="4"/>
    <n v="95"/>
    <n v="0"/>
    <n v="380"/>
    <x v="2"/>
  </r>
  <r>
    <s v="ventas_arequipa_feb.xlsx"/>
    <x v="42"/>
    <x v="0"/>
    <s v="MOD002"/>
    <s v="Zapatillas Urbanas"/>
    <x v="3"/>
    <x v="0"/>
    <s v="Alessandra Peña"/>
    <n v="3"/>
    <n v="210"/>
    <n v="0.1"/>
    <n v="567"/>
    <x v="1"/>
  </r>
  <r>
    <s v="ventas_arequipa_feb.xlsx"/>
    <x v="39"/>
    <x v="0"/>
    <s v="MOD002"/>
    <s v="Zapatillas Urbanas"/>
    <x v="3"/>
    <x v="1"/>
    <s v="Diana Salas"/>
    <n v="2"/>
    <n v="210"/>
    <n v="0"/>
    <n v="420"/>
    <x v="2"/>
  </r>
  <r>
    <s v="ventas_arequipa_feb.xlsx"/>
    <x v="46"/>
    <x v="0"/>
    <s v="TEC002"/>
    <s v="Mouse Logitech"/>
    <x v="1"/>
    <x v="1"/>
    <s v="Fernando Ruiz"/>
    <n v="2"/>
    <n v="75"/>
    <n v="0"/>
    <n v="150"/>
    <x v="0"/>
  </r>
  <r>
    <s v="ventas_arequipa_feb.xlsx"/>
    <x v="43"/>
    <x v="0"/>
    <s v="DEP002"/>
    <s v="Mat de Yoga"/>
    <x v="4"/>
    <x v="1"/>
    <s v="Daniela Rivas"/>
    <n v="4"/>
    <n v="85"/>
    <n v="0.05"/>
    <n v="323"/>
    <x v="3"/>
  </r>
  <r>
    <s v="ventas_arequipa_feb.xlsx"/>
    <x v="37"/>
    <x v="0"/>
    <s v="TEC001"/>
    <s v="Laptop Lenovo"/>
    <x v="1"/>
    <x v="1"/>
    <s v="Gabriela Núñez"/>
    <n v="1"/>
    <n v="2800"/>
    <n v="0"/>
    <n v="2800"/>
    <x v="1"/>
  </r>
  <r>
    <s v="ventas_arequipa_feb.xlsx"/>
    <x v="51"/>
    <x v="0"/>
    <s v="BEL002"/>
    <s v="Crema Facial"/>
    <x v="0"/>
    <x v="1"/>
    <s v="Camila Paredes"/>
    <n v="2"/>
    <n v="60"/>
    <n v="0"/>
    <n v="120"/>
    <x v="1"/>
  </r>
  <r>
    <s v="ventas_arequipa_feb.xlsx"/>
    <x v="54"/>
    <x v="0"/>
    <s v="BEL002"/>
    <s v="Crema Facial"/>
    <x v="0"/>
    <x v="0"/>
    <s v="Iván Soto"/>
    <n v="3"/>
    <n v="60"/>
    <n v="0.1"/>
    <n v="162"/>
    <x v="3"/>
  </r>
  <r>
    <s v="ventas_arequipa_feb.xlsx"/>
    <x v="56"/>
    <x v="0"/>
    <s v="TEC003"/>
    <s v="Audífonos JBL"/>
    <x v="1"/>
    <x v="1"/>
    <s v="Gabriela Núñez"/>
    <n v="4"/>
    <n v="220"/>
    <n v="0"/>
    <n v="836"/>
    <x v="0"/>
  </r>
  <r>
    <s v="ventas_arequipa_feb.xlsx"/>
    <x v="38"/>
    <x v="0"/>
    <s v="TEC003"/>
    <s v="Audífonos JBL"/>
    <x v="1"/>
    <x v="1"/>
    <s v="Camila Paredes"/>
    <n v="3"/>
    <n v="220"/>
    <n v="0"/>
    <n v="594"/>
    <x v="2"/>
  </r>
  <r>
    <s v="ventas_arequipa_feb.xlsx"/>
    <x v="40"/>
    <x v="0"/>
    <s v="TEC002"/>
    <s v="Mouse Logitech"/>
    <x v="1"/>
    <x v="0"/>
    <s v="Marco Espinoza"/>
    <n v="2"/>
    <n v="75"/>
    <n v="0"/>
    <n v="150"/>
    <x v="1"/>
  </r>
  <r>
    <s v="ventas_arequipa_feb.xlsx"/>
    <x v="56"/>
    <x v="0"/>
    <s v="TEC003"/>
    <s v="Audífonos JBL"/>
    <x v="1"/>
    <x v="1"/>
    <s v="Cliente no registrado"/>
    <n v="5"/>
    <n v="220"/>
    <n v="0.05"/>
    <n v="1045"/>
    <x v="2"/>
  </r>
  <r>
    <s v="ventas_arequipa_feb.xlsx"/>
    <x v="48"/>
    <x v="0"/>
    <s v="BEL002"/>
    <s v="Crema Facial"/>
    <x v="0"/>
    <x v="0"/>
    <s v="Miguel Herrera"/>
    <n v="5"/>
    <n v="60"/>
    <n v="0.1"/>
    <n v="270"/>
    <x v="1"/>
  </r>
  <r>
    <s v="ventas_arequipa_feb.xlsx"/>
    <x v="56"/>
    <x v="0"/>
    <s v="DEP002"/>
    <s v="Mat de Yoga"/>
    <x v="4"/>
    <x v="0"/>
    <s v="Camila Paredes"/>
    <n v="4"/>
    <n v="85"/>
    <n v="0"/>
    <n v="340"/>
    <x v="0"/>
  </r>
  <r>
    <s v="ventas_arequipa_feb.xlsx"/>
    <x v="32"/>
    <x v="0"/>
    <s v="MOD003"/>
    <s v="Polo Básico"/>
    <x v="3"/>
    <x v="0"/>
    <s v="Renato Flores"/>
    <n v="5"/>
    <n v="55"/>
    <n v="0"/>
    <n v="275"/>
    <x v="1"/>
  </r>
  <r>
    <s v="ventas_arequipa_feb.xlsx"/>
    <x v="54"/>
    <x v="0"/>
    <s v="HOG001"/>
    <s v="Licuadora Oster"/>
    <x v="2"/>
    <x v="1"/>
    <s v="Cliente no registrado"/>
    <n v="5"/>
    <n v="180"/>
    <n v="0"/>
    <n v="900"/>
    <x v="1"/>
  </r>
  <r>
    <s v="ventas_arequipa_feb.xlsx"/>
    <x v="34"/>
    <x v="0"/>
    <s v="MOD003"/>
    <s v="Polo Básico"/>
    <x v="3"/>
    <x v="1"/>
    <s v="Sofía Navarro"/>
    <n v="1"/>
    <n v="55"/>
    <n v="0"/>
    <n v="55"/>
    <x v="3"/>
  </r>
  <r>
    <s v="ventas_arequipa_feb.xlsx"/>
    <x v="37"/>
    <x v="0"/>
    <s v="HOG003"/>
    <s v="Sartén Antiadherente"/>
    <x v="2"/>
    <x v="0"/>
    <s v="Julio Campos"/>
    <n v="2"/>
    <n v="95"/>
    <n v="0"/>
    <n v="190"/>
    <x v="3"/>
  </r>
  <r>
    <s v="ventas_arequipa_feb.xlsx"/>
    <x v="31"/>
    <x v="0"/>
    <s v="MOD003"/>
    <s v="Polo Básico"/>
    <x v="3"/>
    <x v="0"/>
    <s v="Fernando Ruiz"/>
    <n v="5"/>
    <n v="55"/>
    <n v="0"/>
    <n v="275"/>
    <x v="3"/>
  </r>
  <r>
    <s v="ventas_arequipa_feb.xlsx"/>
    <x v="51"/>
    <x v="0"/>
    <s v="TEC003"/>
    <s v="Audífonos JBL"/>
    <x v="1"/>
    <x v="0"/>
    <s v="Karina Aguilar"/>
    <n v="5"/>
    <n v="220"/>
    <n v="0"/>
    <n v="1045"/>
    <x v="3"/>
  </r>
  <r>
    <s v="ventas_arequipa_feb.xlsx"/>
    <x v="45"/>
    <x v="0"/>
    <s v="DEP002"/>
    <s v="Mat de Yoga"/>
    <x v="4"/>
    <x v="1"/>
    <s v="Gabriela Núñez"/>
    <n v="1"/>
    <n v="85"/>
    <n v="0.05"/>
    <n v="80.75"/>
    <x v="3"/>
  </r>
  <r>
    <s v="ventas_arequipa_feb.xlsx"/>
    <x v="31"/>
    <x v="0"/>
    <s v="DEP003"/>
    <s v="Tomatodo Deportivo"/>
    <x v="4"/>
    <x v="1"/>
    <s v="Daniela Rivas"/>
    <n v="5"/>
    <n v="35"/>
    <n v="0.05"/>
    <n v="166.25"/>
    <x v="1"/>
  </r>
  <r>
    <s v="ventas_arequipa_feb.xlsx"/>
    <x v="38"/>
    <x v="0"/>
    <s v="DEP003"/>
    <s v="Tomatodo Deportivo"/>
    <x v="4"/>
    <x v="0"/>
    <s v="Diana Salas"/>
    <n v="2"/>
    <n v="35"/>
    <n v="0"/>
    <n v="70"/>
    <x v="2"/>
  </r>
  <r>
    <s v="ventas_arequipa_feb.xlsx"/>
    <x v="34"/>
    <x v="0"/>
    <s v="HOG003"/>
    <s v="Sartén Antiadherente"/>
    <x v="2"/>
    <x v="0"/>
    <s v="Gabriela Núñez"/>
    <n v="5"/>
    <n v="95"/>
    <n v="0"/>
    <n v="475"/>
    <x v="0"/>
  </r>
  <r>
    <s v="ventas_arequipa_feb.xlsx"/>
    <x v="48"/>
    <x v="0"/>
    <s v="DEP002"/>
    <s v="Mat de Yoga"/>
    <x v="4"/>
    <x v="1"/>
    <s v="Paola Arias"/>
    <n v="5"/>
    <n v="85"/>
    <n v="0"/>
    <n v="425"/>
    <x v="1"/>
  </r>
  <r>
    <s v="ventas_arequipa_feb.xlsx"/>
    <x v="50"/>
    <x v="0"/>
    <s v="TEC003"/>
    <s v="Audífonos JBL"/>
    <x v="1"/>
    <x v="1"/>
    <s v="César Salcedo"/>
    <n v="5"/>
    <n v="220"/>
    <n v="0"/>
    <n v="1100"/>
    <x v="1"/>
  </r>
  <r>
    <s v="ventas_arequipa_feb.xlsx"/>
    <x v="33"/>
    <x v="0"/>
    <s v="HOG003"/>
    <s v="Sartén Antiadherente"/>
    <x v="2"/>
    <x v="0"/>
    <s v="Miguel Herrera"/>
    <n v="1"/>
    <n v="95"/>
    <n v="0.15"/>
    <n v="80.75"/>
    <x v="3"/>
  </r>
  <r>
    <s v="ventas_arequipa_feb.xlsx"/>
    <x v="55"/>
    <x v="0"/>
    <s v="MOD001"/>
    <s v="Casaca Denim"/>
    <x v="3"/>
    <x v="1"/>
    <s v="Julio Campos"/>
    <n v="2"/>
    <n v="160"/>
    <n v="0"/>
    <n v="320"/>
    <x v="0"/>
  </r>
  <r>
    <s v="ventas_arequipa_feb.xlsx"/>
    <x v="42"/>
    <x v="0"/>
    <s v="DEP002"/>
    <s v="Mat de Yoga"/>
    <x v="4"/>
    <x v="0"/>
    <s v="Diana Salas"/>
    <n v="5"/>
    <n v="85"/>
    <n v="0"/>
    <n v="382.5"/>
    <x v="2"/>
  </r>
  <r>
    <s v="ventas_arequipa_feb.xlsx"/>
    <x v="34"/>
    <x v="0"/>
    <s v="MOD003"/>
    <s v="Polo Básico"/>
    <x v="3"/>
    <x v="1"/>
    <s v="Fernando Ruiz"/>
    <n v="2"/>
    <n v="55"/>
    <n v="0"/>
    <n v="110"/>
    <x v="1"/>
  </r>
  <r>
    <s v="ventas_arequipa_mar.xlsx"/>
    <x v="57"/>
    <x v="0"/>
    <s v="BEL003"/>
    <s v="Shampoo Nutritivo"/>
    <x v="0"/>
    <x v="0"/>
    <s v="Pedro Chávez"/>
    <n v="4"/>
    <n v="45"/>
    <n v="0"/>
    <n v="180"/>
    <x v="3"/>
  </r>
  <r>
    <s v="ventas_arequipa_mar.xlsx"/>
    <x v="58"/>
    <x v="0"/>
    <s v="TEC001"/>
    <s v="Laptop Lenovo"/>
    <x v="1"/>
    <x v="0"/>
    <s v="Paola Arias"/>
    <n v="1"/>
    <n v="2800"/>
    <n v="0"/>
    <n v="2800"/>
    <x v="0"/>
  </r>
  <r>
    <s v="ventas_arequipa_mar.xlsx"/>
    <x v="59"/>
    <x v="0"/>
    <s v="DEP001"/>
    <s v="Mancuernas 5kg"/>
    <x v="4"/>
    <x v="0"/>
    <s v="Pedro Chávez"/>
    <n v="2"/>
    <n v="140"/>
    <n v="0.05"/>
    <n v="266"/>
    <x v="3"/>
  </r>
  <r>
    <s v="ventas_arequipa_mar.xlsx"/>
    <x v="60"/>
    <x v="0"/>
    <s v="BEL002"/>
    <s v="Crema Facial"/>
    <x v="0"/>
    <x v="0"/>
    <s v="Rosa Mendoza"/>
    <n v="3"/>
    <n v="60"/>
    <n v="0"/>
    <n v="180"/>
    <x v="1"/>
  </r>
  <r>
    <s v="ventas_arequipa_mar.xlsx"/>
    <x v="61"/>
    <x v="0"/>
    <s v="TEC003"/>
    <s v="Audífonos JBL"/>
    <x v="1"/>
    <x v="1"/>
    <s v="Daniela Rivas"/>
    <n v="5"/>
    <n v="220"/>
    <n v="0"/>
    <n v="1100"/>
    <x v="0"/>
  </r>
  <r>
    <s v="ventas_arequipa_mar.xlsx"/>
    <x v="62"/>
    <x v="0"/>
    <s v="MOD002"/>
    <s v="Zapatillas Urbanas"/>
    <x v="3"/>
    <x v="1"/>
    <s v="Sofía Navarro"/>
    <n v="4"/>
    <n v="210"/>
    <n v="0.15"/>
    <n v="714"/>
    <x v="1"/>
  </r>
  <r>
    <s v="ventas_arequipa_mar.xlsx"/>
    <x v="63"/>
    <x v="0"/>
    <s v="MOD001"/>
    <s v="Casaca Denim"/>
    <x v="3"/>
    <x v="0"/>
    <s v="Javier Núñez"/>
    <n v="2"/>
    <n v="160"/>
    <n v="0.1"/>
    <n v="288"/>
    <x v="2"/>
  </r>
  <r>
    <s v="ventas_arequipa_mar.xlsx"/>
    <x v="64"/>
    <x v="0"/>
    <s v="DEP002"/>
    <s v="Mat de Yoga"/>
    <x v="4"/>
    <x v="1"/>
    <s v="Ana Torres"/>
    <n v="2"/>
    <n v="85"/>
    <n v="0.1"/>
    <n v="153"/>
    <x v="3"/>
  </r>
  <r>
    <s v="ventas_arequipa_mar.xlsx"/>
    <x v="65"/>
    <x v="0"/>
    <s v="BEL002"/>
    <s v="Crema Facial"/>
    <x v="0"/>
    <x v="1"/>
    <s v="Cliente no registrado"/>
    <n v="5"/>
    <n v="60"/>
    <n v="0"/>
    <n v="300"/>
    <x v="1"/>
  </r>
  <r>
    <s v="ventas_arequipa_mar.xlsx"/>
    <x v="66"/>
    <x v="0"/>
    <s v="BEL002"/>
    <s v="Crema Facial"/>
    <x v="0"/>
    <x v="1"/>
    <s v="Jorge Castillo"/>
    <n v="1"/>
    <n v="60"/>
    <n v="0"/>
    <n v="60"/>
    <x v="1"/>
  </r>
  <r>
    <s v="ventas_arequipa_mar.xlsx"/>
    <x v="67"/>
    <x v="0"/>
    <s v="MOD002"/>
    <s v="Zapatillas Urbanas"/>
    <x v="3"/>
    <x v="1"/>
    <s v="Andrés Romero"/>
    <n v="5"/>
    <n v="210"/>
    <n v="0"/>
    <n v="1050"/>
    <x v="3"/>
  </r>
  <r>
    <s v="ventas_arequipa_mar.xlsx"/>
    <x v="68"/>
    <x v="0"/>
    <s v="HOG002"/>
    <s v="Juego de Sábanas"/>
    <x v="2"/>
    <x v="1"/>
    <s v="Elena Vera"/>
    <n v="5"/>
    <n v="120"/>
    <n v="0"/>
    <n v="600"/>
    <x v="2"/>
  </r>
  <r>
    <s v="ventas_arequipa_mar.xlsx"/>
    <x v="69"/>
    <x v="0"/>
    <s v="HOG002"/>
    <s v="Juego de Sábanas"/>
    <x v="2"/>
    <x v="0"/>
    <s v="Miguel Herrera"/>
    <n v="1"/>
    <n v="120"/>
    <n v="0"/>
    <n v="120"/>
    <x v="2"/>
  </r>
  <r>
    <s v="ventas_arequipa_mar.xlsx"/>
    <x v="70"/>
    <x v="0"/>
    <s v="MOD001"/>
    <s v="Casaca Denim"/>
    <x v="3"/>
    <x v="0"/>
    <s v="Ana Torres"/>
    <n v="5"/>
    <n v="160"/>
    <n v="0"/>
    <n v="800"/>
    <x v="3"/>
  </r>
  <r>
    <s v="ventas_arequipa_mar.xlsx"/>
    <x v="71"/>
    <x v="0"/>
    <s v="TEC002"/>
    <s v="Mouse Logitech"/>
    <x v="1"/>
    <x v="0"/>
    <s v="Andrés Romero"/>
    <n v="1"/>
    <n v="75"/>
    <n v="0"/>
    <n v="75"/>
    <x v="3"/>
  </r>
  <r>
    <s v="ventas_arequipa_mar.xlsx"/>
    <x v="72"/>
    <x v="0"/>
    <s v="DEP001"/>
    <s v="Mancuernas 5kg"/>
    <x v="4"/>
    <x v="0"/>
    <s v="Kevin Vargas"/>
    <n v="2"/>
    <n v="140"/>
    <n v="0"/>
    <n v="280"/>
    <x v="1"/>
  </r>
  <r>
    <s v="ventas_arequipa_mar.xlsx"/>
    <x v="71"/>
    <x v="0"/>
    <s v="MOD003"/>
    <s v="Polo Básico"/>
    <x v="3"/>
    <x v="0"/>
    <s v="Ana Torres"/>
    <n v="4"/>
    <n v="55"/>
    <n v="0.05"/>
    <n v="209"/>
    <x v="2"/>
  </r>
  <r>
    <s v="ventas_arequipa_mar.xlsx"/>
    <x v="73"/>
    <x v="0"/>
    <s v="TEC003"/>
    <s v="Audífonos JBL"/>
    <x v="1"/>
    <x v="0"/>
    <s v="Julio Campos"/>
    <n v="5"/>
    <n v="220"/>
    <n v="0.15"/>
    <n v="935"/>
    <x v="2"/>
  </r>
  <r>
    <s v="ventas_arequipa_mar.xlsx"/>
    <x v="74"/>
    <x v="0"/>
    <s v="MOD001"/>
    <s v="Casaca Denim"/>
    <x v="3"/>
    <x v="1"/>
    <s v="César Salcedo"/>
    <n v="2"/>
    <n v="160"/>
    <n v="0"/>
    <n v="320"/>
    <x v="3"/>
  </r>
  <r>
    <s v="ventas_arequipa_mar.xlsx"/>
    <x v="64"/>
    <x v="0"/>
    <s v="MOD002"/>
    <s v="Zapatillas Urbanas"/>
    <x v="3"/>
    <x v="1"/>
    <s v="Pedro Chávez"/>
    <n v="2"/>
    <n v="210"/>
    <n v="0.05"/>
    <n v="399"/>
    <x v="2"/>
  </r>
  <r>
    <s v="ventas_arequipa_mar.xlsx"/>
    <x v="60"/>
    <x v="0"/>
    <s v="MOD001"/>
    <s v="Casaca Denim"/>
    <x v="3"/>
    <x v="0"/>
    <s v="Bruno Medina"/>
    <n v="3"/>
    <n v="160"/>
    <n v="0.05"/>
    <n v="456"/>
    <x v="1"/>
  </r>
  <r>
    <s v="ventas_arequipa_mar.xlsx"/>
    <x v="62"/>
    <x v="0"/>
    <s v="BEL002"/>
    <s v="Crema Facial"/>
    <x v="0"/>
    <x v="0"/>
    <s v="María López"/>
    <n v="2"/>
    <n v="60"/>
    <n v="0"/>
    <n v="120"/>
    <x v="2"/>
  </r>
  <r>
    <s v="ventas_arequipa_mar.xlsx"/>
    <x v="75"/>
    <x v="0"/>
    <s v="DEP002"/>
    <s v="Mat de Yoga"/>
    <x v="4"/>
    <x v="1"/>
    <s v="Alessandra Peña"/>
    <n v="5"/>
    <n v="85"/>
    <n v="0.05"/>
    <n v="403.75"/>
    <x v="0"/>
  </r>
  <r>
    <s v="ventas_arequipa_mar.xlsx"/>
    <x v="70"/>
    <x v="0"/>
    <s v="TEC003"/>
    <s v="Audífonos JBL"/>
    <x v="1"/>
    <x v="1"/>
    <s v="Javier Núñez"/>
    <n v="1"/>
    <n v="220"/>
    <n v="0"/>
    <n v="220"/>
    <x v="2"/>
  </r>
  <r>
    <s v="ventas_arequipa_mar.xlsx"/>
    <x v="76"/>
    <x v="0"/>
    <s v="HOG003"/>
    <s v="Sartén Antiadherente"/>
    <x v="2"/>
    <x v="0"/>
    <s v="Fernando Ruiz"/>
    <n v="2"/>
    <n v="95"/>
    <n v="0"/>
    <n v="190"/>
    <x v="2"/>
  </r>
  <r>
    <s v="ventas_arequipa_mar.xlsx"/>
    <x v="61"/>
    <x v="0"/>
    <s v="TEC003"/>
    <s v="Audífonos JBL"/>
    <x v="1"/>
    <x v="0"/>
    <s v="Bruno Medina"/>
    <n v="5"/>
    <n v="220"/>
    <n v="0"/>
    <n v="1100"/>
    <x v="2"/>
  </r>
  <r>
    <s v="ventas_arequipa_mar.xlsx"/>
    <x v="77"/>
    <x v="0"/>
    <s v="MOD003"/>
    <s v="Polo Básico"/>
    <x v="3"/>
    <x v="1"/>
    <s v="Carlos Rojas"/>
    <n v="3"/>
    <n v="55"/>
    <n v="0"/>
    <n v="165"/>
    <x v="0"/>
  </r>
  <r>
    <s v="ventas_arequipa_mar.xlsx"/>
    <x v="66"/>
    <x v="0"/>
    <s v="TEC002"/>
    <s v="Mouse Logitech"/>
    <x v="1"/>
    <x v="0"/>
    <s v="Pedro Chávez"/>
    <n v="4"/>
    <n v="75"/>
    <n v="0"/>
    <n v="300"/>
    <x v="2"/>
  </r>
  <r>
    <s v="ventas_arequipa_mar.xlsx"/>
    <x v="76"/>
    <x v="0"/>
    <s v="DEP003"/>
    <s v="Tomatodo Deportivo"/>
    <x v="4"/>
    <x v="1"/>
    <s v="Javier Núñez"/>
    <n v="5"/>
    <n v="35"/>
    <n v="0.1"/>
    <n v="157.5"/>
    <x v="3"/>
  </r>
  <r>
    <s v="ventas_arequipa_mar.xlsx"/>
    <x v="78"/>
    <x v="0"/>
    <s v="BEL001"/>
    <s v="Perfume Floral"/>
    <x v="0"/>
    <x v="0"/>
    <s v="Bruno Medina"/>
    <n v="2"/>
    <n v="170"/>
    <n v="0.05"/>
    <n v="323"/>
    <x v="3"/>
  </r>
  <r>
    <s v="ventas_arequipa_mar.xlsx"/>
    <x v="75"/>
    <x v="0"/>
    <s v="DEP002"/>
    <s v="Mat de Yoga"/>
    <x v="4"/>
    <x v="1"/>
    <s v="Elena Vera"/>
    <n v="2"/>
    <n v="85"/>
    <n v="0"/>
    <n v="170"/>
    <x v="2"/>
  </r>
  <r>
    <s v="ventas_arequipa_mar.xlsx"/>
    <x v="64"/>
    <x v="0"/>
    <s v="BEL002"/>
    <s v="Crema Facial"/>
    <x v="0"/>
    <x v="1"/>
    <s v="Bruno Medina"/>
    <n v="1"/>
    <n v="60"/>
    <n v="0"/>
    <n v="60"/>
    <x v="1"/>
  </r>
  <r>
    <s v="ventas_arequipa_mar.xlsx"/>
    <x v="67"/>
    <x v="0"/>
    <s v="MOD001"/>
    <s v="Casaca Denim"/>
    <x v="3"/>
    <x v="1"/>
    <s v="Renato Flores"/>
    <n v="4"/>
    <n v="160"/>
    <n v="0"/>
    <n v="640"/>
    <x v="1"/>
  </r>
  <r>
    <s v="ventas_arequipa_mar.xlsx"/>
    <x v="75"/>
    <x v="0"/>
    <s v="MOD003"/>
    <s v="Polo Básico"/>
    <x v="3"/>
    <x v="1"/>
    <s v="Pedro Chávez"/>
    <n v="1"/>
    <n v="55"/>
    <n v="0.05"/>
    <n v="52.25"/>
    <x v="2"/>
  </r>
  <r>
    <s v="ventas_arequipa_mar.xlsx"/>
    <x v="63"/>
    <x v="0"/>
    <s v="DEP001"/>
    <s v="Mancuernas 5kg"/>
    <x v="4"/>
    <x v="0"/>
    <s v="Paola Arias"/>
    <n v="1"/>
    <n v="140"/>
    <n v="0"/>
    <n v="140"/>
    <x v="1"/>
  </r>
  <r>
    <s v="ventas_arequipa_mar.xlsx"/>
    <x v="58"/>
    <x v="0"/>
    <s v="BEL003"/>
    <s v="Shampoo Nutritivo"/>
    <x v="0"/>
    <x v="0"/>
    <s v="Javier Núñez"/>
    <n v="4"/>
    <n v="45"/>
    <n v="0.05"/>
    <n v="171"/>
    <x v="0"/>
  </r>
  <r>
    <s v="ventas_arequipa_mar.xlsx"/>
    <x v="71"/>
    <x v="0"/>
    <s v="MOD003"/>
    <s v="Polo Básico"/>
    <x v="3"/>
    <x v="0"/>
    <s v="Sofía Navarro"/>
    <n v="1"/>
    <n v="55"/>
    <n v="0.1"/>
    <n v="49.5"/>
    <x v="1"/>
  </r>
  <r>
    <s v="ventas_arequipa_mar.xlsx"/>
    <x v="73"/>
    <x v="0"/>
    <s v="HOG002"/>
    <s v="Juego de Sábanas"/>
    <x v="2"/>
    <x v="1"/>
    <s v="María López"/>
    <n v="3"/>
    <n v="120"/>
    <n v="0.05"/>
    <n v="342"/>
    <x v="0"/>
  </r>
  <r>
    <s v="ventas_arequipa_mar.xlsx"/>
    <x v="79"/>
    <x v="0"/>
    <s v="DEP002"/>
    <s v="Mat de Yoga"/>
    <x v="4"/>
    <x v="0"/>
    <s v="Jorge Castillo"/>
    <n v="1"/>
    <n v="85"/>
    <n v="0"/>
    <n v="85"/>
    <x v="3"/>
  </r>
  <r>
    <s v="ventas_arequipa_mar.xlsx"/>
    <x v="80"/>
    <x v="0"/>
    <s v="HOG003"/>
    <s v="Sartén Antiadherente"/>
    <x v="2"/>
    <x v="1"/>
    <s v="Fiorella Díaz"/>
    <n v="5"/>
    <n v="95"/>
    <n v="0"/>
    <n v="475"/>
    <x v="1"/>
  </r>
  <r>
    <s v="ventas_arequipa_mar.xlsx"/>
    <x v="68"/>
    <x v="0"/>
    <s v="MOD003"/>
    <s v="Polo Básico"/>
    <x v="3"/>
    <x v="1"/>
    <s v="Daniela Rivas"/>
    <n v="2"/>
    <n v="55"/>
    <n v="0"/>
    <n v="110"/>
    <x v="3"/>
  </r>
  <r>
    <s v="ventas_arequipa_mar.xlsx"/>
    <x v="65"/>
    <x v="0"/>
    <s v="DEP002"/>
    <s v="Mat de Yoga"/>
    <x v="4"/>
    <x v="1"/>
    <s v="Karina Aguilar"/>
    <n v="5"/>
    <n v="85"/>
    <n v="0.1"/>
    <n v="382.5"/>
    <x v="2"/>
  </r>
  <r>
    <s v="ventas_arequipa_mar.xlsx"/>
    <x v="75"/>
    <x v="0"/>
    <s v="HOG002"/>
    <s v="Juego de Sábanas"/>
    <x v="2"/>
    <x v="0"/>
    <s v="Miguel Herrera"/>
    <n v="3"/>
    <n v="120"/>
    <n v="0"/>
    <n v="360"/>
    <x v="0"/>
  </r>
  <r>
    <s v="ventas_arequipa_mar.xlsx"/>
    <x v="70"/>
    <x v="0"/>
    <s v="MOD001"/>
    <s v="Casaca Denim"/>
    <x v="3"/>
    <x v="0"/>
    <s v="César Salcedo"/>
    <n v="5"/>
    <n v="160"/>
    <n v="0"/>
    <n v="800"/>
    <x v="0"/>
  </r>
  <r>
    <s v="ventas_arequipa_mar.xlsx"/>
    <x v="59"/>
    <x v="0"/>
    <s v="MOD001"/>
    <s v="Casaca Denim"/>
    <x v="3"/>
    <x v="1"/>
    <s v="Alessandra Peña"/>
    <n v="3"/>
    <n v="160"/>
    <n v="0.05"/>
    <n v="456"/>
    <x v="3"/>
  </r>
  <r>
    <s v="ventas_arequipa_mar.xlsx"/>
    <x v="81"/>
    <x v="0"/>
    <s v="TEC002"/>
    <s v="Mouse Logitech"/>
    <x v="1"/>
    <x v="1"/>
    <s v="Diana Salas"/>
    <n v="4"/>
    <n v="75"/>
    <n v="0.1"/>
    <n v="270"/>
    <x v="1"/>
  </r>
  <r>
    <s v="ventas_arequipa_mar.xlsx"/>
    <x v="74"/>
    <x v="0"/>
    <s v="DEP002"/>
    <s v="Mat de Yoga"/>
    <x v="4"/>
    <x v="1"/>
    <s v="César Salcedo"/>
    <n v="4"/>
    <n v="85"/>
    <n v="0"/>
    <n v="340"/>
    <x v="2"/>
  </r>
  <r>
    <s v="ventas_arequipa_mar.xlsx"/>
    <x v="82"/>
    <x v="0"/>
    <s v="MOD001"/>
    <s v="Casaca Denim"/>
    <x v="3"/>
    <x v="1"/>
    <s v="María López"/>
    <n v="4"/>
    <n v="160"/>
    <n v="0"/>
    <n v="640"/>
    <x v="1"/>
  </r>
  <r>
    <s v="ventas_arequipa_mar.xlsx"/>
    <x v="83"/>
    <x v="0"/>
    <s v="BEL001"/>
    <s v="Perfume Floral"/>
    <x v="0"/>
    <x v="0"/>
    <s v="Sofía Navarro"/>
    <n v="2"/>
    <n v="170"/>
    <n v="0.1"/>
    <n v="306"/>
    <x v="0"/>
  </r>
  <r>
    <s v="ventas_arequipa_mar.xlsx"/>
    <x v="84"/>
    <x v="0"/>
    <s v="MOD002"/>
    <s v="Zapatillas Urbanas"/>
    <x v="3"/>
    <x v="0"/>
    <s v="Rosa Mendoza"/>
    <n v="5"/>
    <n v="210"/>
    <n v="0.1"/>
    <n v="945"/>
    <x v="0"/>
  </r>
  <r>
    <s v="ventas_arequipa_mar.xlsx"/>
    <x v="80"/>
    <x v="0"/>
    <s v="TEC003"/>
    <s v="Audífonos JBL"/>
    <x v="1"/>
    <x v="0"/>
    <s v="Carlos Rojas"/>
    <n v="3"/>
    <n v="220"/>
    <n v="0"/>
    <n v="660"/>
    <x v="2"/>
  </r>
  <r>
    <s v="ventas_arequipa_mar.xlsx"/>
    <x v="73"/>
    <x v="0"/>
    <s v="HOG003"/>
    <s v="Sartén Antiadherente"/>
    <x v="2"/>
    <x v="1"/>
    <s v="Pedro Chávez"/>
    <n v="4"/>
    <n v="95"/>
    <n v="0.15"/>
    <n v="323"/>
    <x v="2"/>
  </r>
  <r>
    <s v="ventas_arequipa_mar.xlsx"/>
    <x v="70"/>
    <x v="0"/>
    <s v="BEL003"/>
    <s v="Shampoo Nutritivo"/>
    <x v="0"/>
    <x v="1"/>
    <s v="Elena Vera"/>
    <n v="2"/>
    <n v="45"/>
    <n v="0"/>
    <n v="90"/>
    <x v="2"/>
  </r>
  <r>
    <s v="ventas_arequipa_mar.xlsx"/>
    <x v="57"/>
    <x v="0"/>
    <s v="MOD001"/>
    <s v="Casaca Denim"/>
    <x v="3"/>
    <x v="1"/>
    <s v="Miguel Herrera"/>
    <n v="3"/>
    <n v="160"/>
    <n v="0"/>
    <n v="480"/>
    <x v="2"/>
  </r>
  <r>
    <s v="ventas_arequipa_mar.xlsx"/>
    <x v="57"/>
    <x v="0"/>
    <s v="HOG003"/>
    <s v="Sartén Antiadherente"/>
    <x v="2"/>
    <x v="0"/>
    <s v="Ana Torres"/>
    <n v="5"/>
    <n v="95"/>
    <n v="0.15"/>
    <n v="403.75"/>
    <x v="3"/>
  </r>
  <r>
    <s v="ventas_arequipa_mar.xlsx"/>
    <x v="79"/>
    <x v="0"/>
    <s v="BEL002"/>
    <s v="Crema Facial"/>
    <x v="0"/>
    <x v="0"/>
    <s v="Bruno Medina"/>
    <n v="2"/>
    <n v="60"/>
    <n v="0.1"/>
    <n v="108"/>
    <x v="0"/>
  </r>
  <r>
    <s v="ventas_arequipa_mar.xlsx"/>
    <x v="81"/>
    <x v="0"/>
    <s v="DEP001"/>
    <s v="Mancuernas 5kg"/>
    <x v="4"/>
    <x v="1"/>
    <s v="Bruno Medina"/>
    <n v="3"/>
    <n v="140"/>
    <n v="0"/>
    <n v="420"/>
    <x v="3"/>
  </r>
  <r>
    <s v="ventas_arequipa_mar.xlsx"/>
    <x v="60"/>
    <x v="0"/>
    <s v="HOG002"/>
    <s v="Juego de Sábanas"/>
    <x v="2"/>
    <x v="1"/>
    <s v="Julio Campos"/>
    <n v="1"/>
    <n v="120"/>
    <n v="0.05"/>
    <n v="114"/>
    <x v="1"/>
  </r>
  <r>
    <s v="ventas_arequipa_mar.xlsx"/>
    <x v="85"/>
    <x v="0"/>
    <s v="HOG002"/>
    <s v="Juego de Sábanas"/>
    <x v="2"/>
    <x v="0"/>
    <s v="Sofía Navarro"/>
    <n v="4"/>
    <n v="120"/>
    <n v="0.05"/>
    <n v="456"/>
    <x v="1"/>
  </r>
  <r>
    <s v="ventas_arequipa_mar.xlsx"/>
    <x v="85"/>
    <x v="0"/>
    <s v="MOD003"/>
    <s v="Polo Básico"/>
    <x v="3"/>
    <x v="0"/>
    <s v="María López"/>
    <n v="2"/>
    <n v="55"/>
    <n v="0.05"/>
    <n v="104.5"/>
    <x v="3"/>
  </r>
  <r>
    <s v="ventas_arequipa_mar.xlsx"/>
    <x v="61"/>
    <x v="0"/>
    <s v="DEP001"/>
    <s v="Mancuernas 5kg"/>
    <x v="4"/>
    <x v="1"/>
    <s v="Marco Espinoza"/>
    <n v="1"/>
    <n v="140"/>
    <n v="0.15"/>
    <n v="119"/>
    <x v="1"/>
  </r>
  <r>
    <s v="ventas_arequipa_mar.xlsx"/>
    <x v="65"/>
    <x v="0"/>
    <s v="BEL002"/>
    <s v="Crema Facial"/>
    <x v="0"/>
    <x v="0"/>
    <s v="Miguel Herrera"/>
    <n v="3"/>
    <n v="60"/>
    <n v="0"/>
    <n v="180"/>
    <x v="1"/>
  </r>
  <r>
    <s v="ventas_arequipa_mar.xlsx"/>
    <x v="84"/>
    <x v="0"/>
    <s v="HOG001"/>
    <s v="Licuadora Oster"/>
    <x v="2"/>
    <x v="1"/>
    <s v="Alessandra Peña"/>
    <n v="3"/>
    <n v="180"/>
    <n v="0"/>
    <n v="540"/>
    <x v="3"/>
  </r>
  <r>
    <s v="ventas_arequipa_mar.xlsx"/>
    <x v="81"/>
    <x v="0"/>
    <s v="DEP002"/>
    <s v="Mat de Yoga"/>
    <x v="4"/>
    <x v="1"/>
    <s v="Alessandra Peña"/>
    <n v="4"/>
    <n v="85"/>
    <n v="0.1"/>
    <n v="306"/>
    <x v="3"/>
  </r>
  <r>
    <s v="ventas_arequipa_mar.xlsx"/>
    <x v="76"/>
    <x v="0"/>
    <s v="DEP002"/>
    <s v="Mat de Yoga"/>
    <x v="4"/>
    <x v="1"/>
    <s v="Pedro Chávez"/>
    <n v="4"/>
    <n v="85"/>
    <n v="0"/>
    <n v="340"/>
    <x v="3"/>
  </r>
  <r>
    <s v="ventas_arequipa_mar.xlsx"/>
    <x v="71"/>
    <x v="0"/>
    <s v="BEL003"/>
    <s v="Shampoo Nutritivo"/>
    <x v="0"/>
    <x v="0"/>
    <s v="Fernando Ruiz"/>
    <n v="5"/>
    <n v="45"/>
    <n v="0.15"/>
    <n v="191.25"/>
    <x v="0"/>
  </r>
  <r>
    <s v="ventas_arequipa_mar.xlsx"/>
    <x v="76"/>
    <x v="0"/>
    <s v="MOD001"/>
    <s v="Casaca Denim"/>
    <x v="3"/>
    <x v="1"/>
    <s v="Mónica Palomino"/>
    <n v="5"/>
    <n v="160"/>
    <n v="0"/>
    <n v="800"/>
    <x v="3"/>
  </r>
  <r>
    <s v="ventas_arequipa_mar.xlsx"/>
    <x v="78"/>
    <x v="0"/>
    <s v="HOG002"/>
    <s v="Juego de Sábanas"/>
    <x v="2"/>
    <x v="0"/>
    <s v="Pedro Chávez"/>
    <n v="4"/>
    <n v="120"/>
    <n v="0"/>
    <n v="480"/>
    <x v="3"/>
  </r>
  <r>
    <s v="ventas_arequipa_mar.xlsx"/>
    <x v="67"/>
    <x v="0"/>
    <s v="MOD003"/>
    <s v="Polo Básico"/>
    <x v="3"/>
    <x v="1"/>
    <s v="Pedro Chávez"/>
    <n v="4"/>
    <n v="55"/>
    <n v="0"/>
    <n v="220"/>
    <x v="3"/>
  </r>
  <r>
    <s v="ventas_arequipa_mar.xlsx"/>
    <x v="86"/>
    <x v="0"/>
    <s v="TEC002"/>
    <s v="Mouse Logitech"/>
    <x v="1"/>
    <x v="1"/>
    <s v="Cliente no registrado"/>
    <n v="3"/>
    <n v="75"/>
    <n v="0"/>
    <n v="225"/>
    <x v="0"/>
  </r>
  <r>
    <s v="ventas_arequipa_mar.xlsx"/>
    <x v="80"/>
    <x v="0"/>
    <s v="MOD002"/>
    <s v="Zapatillas Urbanas"/>
    <x v="3"/>
    <x v="0"/>
    <s v="Javier Núñez"/>
    <n v="1"/>
    <n v="210"/>
    <n v="0.05"/>
    <n v="199.5"/>
    <x v="0"/>
  </r>
  <r>
    <s v="ventas_arequipa_mar.xlsx"/>
    <x v="78"/>
    <x v="0"/>
    <s v="MOD003"/>
    <s v="Polo Básico"/>
    <x v="3"/>
    <x v="1"/>
    <s v="Bruno Medina"/>
    <n v="4"/>
    <n v="55"/>
    <n v="0.15"/>
    <n v="187"/>
    <x v="1"/>
  </r>
  <r>
    <s v="ventas_arequipa_mar.xlsx"/>
    <x v="77"/>
    <x v="0"/>
    <s v="BEL001"/>
    <s v="Perfume Floral"/>
    <x v="0"/>
    <x v="0"/>
    <s v="Fiorella Díaz"/>
    <n v="2"/>
    <n v="170"/>
    <n v="0.05"/>
    <n v="323"/>
    <x v="2"/>
  </r>
  <r>
    <s v="ventas_arequipa_mar.xlsx"/>
    <x v="75"/>
    <x v="0"/>
    <s v="HOG003"/>
    <s v="Sartén Antiadherente"/>
    <x v="2"/>
    <x v="0"/>
    <s v="Pedro Chávez"/>
    <n v="1"/>
    <n v="95"/>
    <n v="0"/>
    <n v="95"/>
    <x v="1"/>
  </r>
  <r>
    <s v="ventas_arequipa_mar.xlsx"/>
    <x v="73"/>
    <x v="0"/>
    <s v="MOD002"/>
    <s v="Zapatillas Urbanas"/>
    <x v="3"/>
    <x v="1"/>
    <s v="Javier Núñez"/>
    <n v="2"/>
    <n v="210"/>
    <n v="0.05"/>
    <n v="399"/>
    <x v="0"/>
  </r>
  <r>
    <s v="ventas_arequipa_mar.xlsx"/>
    <x v="65"/>
    <x v="0"/>
    <s v="BEL001"/>
    <s v="Perfume Floral"/>
    <x v="0"/>
    <x v="0"/>
    <s v="Elena Vera"/>
    <n v="3"/>
    <n v="170"/>
    <n v="0"/>
    <n v="510"/>
    <x v="0"/>
  </r>
  <r>
    <s v="ventas_arequipa_mar.xlsx"/>
    <x v="81"/>
    <x v="0"/>
    <s v="BEL001"/>
    <s v="Perfume Floral"/>
    <x v="0"/>
    <x v="0"/>
    <s v="Fernando Ruiz"/>
    <n v="1"/>
    <n v="170"/>
    <n v="0"/>
    <n v="170"/>
    <x v="0"/>
  </r>
  <r>
    <s v="ventas_arequipa_mar.xlsx"/>
    <x v="77"/>
    <x v="0"/>
    <s v="BEL002"/>
    <s v="Crema Facial"/>
    <x v="0"/>
    <x v="1"/>
    <s v="Andrés Romero"/>
    <n v="2"/>
    <n v="60"/>
    <n v="0"/>
    <n v="120"/>
    <x v="1"/>
  </r>
  <r>
    <s v="ventas_arequipa_mar.xlsx"/>
    <x v="77"/>
    <x v="0"/>
    <s v="MOD001"/>
    <s v="Casaca Denim"/>
    <x v="3"/>
    <x v="1"/>
    <s v="Pedro Chávez"/>
    <n v="1"/>
    <n v="160"/>
    <n v="0"/>
    <n v="160"/>
    <x v="0"/>
  </r>
  <r>
    <s v="ventas_arequipa_mar.xlsx"/>
    <x v="73"/>
    <x v="0"/>
    <s v="TEC002"/>
    <s v="Mouse Logitech"/>
    <x v="1"/>
    <x v="0"/>
    <s v="Pedro Chávez"/>
    <n v="4"/>
    <n v="75"/>
    <n v="0.1"/>
    <n v="270"/>
    <x v="1"/>
  </r>
  <r>
    <s v="ventas_arequipa_mar.xlsx"/>
    <x v="58"/>
    <x v="0"/>
    <s v="DEP002"/>
    <s v="Mat de Yoga"/>
    <x v="4"/>
    <x v="1"/>
    <s v="Pedro Chávez"/>
    <n v="1"/>
    <n v="85"/>
    <n v="0"/>
    <n v="85"/>
    <x v="2"/>
  </r>
  <r>
    <s v="ventas_arequipa_mar.xlsx"/>
    <x v="69"/>
    <x v="0"/>
    <s v="TEC003"/>
    <s v="Audífonos JBL"/>
    <x v="1"/>
    <x v="1"/>
    <s v="Karina Aguilar"/>
    <n v="1"/>
    <n v="220"/>
    <n v="0"/>
    <n v="220"/>
    <x v="3"/>
  </r>
  <r>
    <s v="ventas_arequipa_mar.xlsx"/>
    <x v="64"/>
    <x v="0"/>
    <s v="DEP003"/>
    <s v="Tomatodo Deportivo"/>
    <x v="4"/>
    <x v="1"/>
    <s v="Omar Cárdenas"/>
    <n v="1"/>
    <n v="35"/>
    <n v="0"/>
    <n v="35"/>
    <x v="0"/>
  </r>
  <r>
    <s v="ventas_arequipa_mar.xlsx"/>
    <x v="69"/>
    <x v="0"/>
    <s v="TEC001"/>
    <s v="Laptop Lenovo"/>
    <x v="1"/>
    <x v="1"/>
    <s v="Omar Cárdenas"/>
    <n v="3"/>
    <n v="2800"/>
    <n v="0.05"/>
    <n v="7980"/>
    <x v="2"/>
  </r>
  <r>
    <s v="ventas_arequipa_mar.xlsx"/>
    <x v="80"/>
    <x v="0"/>
    <s v="MOD003"/>
    <s v="Polo Básico"/>
    <x v="3"/>
    <x v="1"/>
    <s v="Javier Núñez"/>
    <n v="2"/>
    <n v="55"/>
    <n v="0"/>
    <n v="110"/>
    <x v="0"/>
  </r>
  <r>
    <s v="ventas_arequipa_mar.xlsx"/>
    <x v="58"/>
    <x v="0"/>
    <s v="BEL003"/>
    <s v="Shampoo Nutritivo"/>
    <x v="0"/>
    <x v="1"/>
    <s v="María López"/>
    <n v="3"/>
    <n v="45"/>
    <n v="0"/>
    <n v="135"/>
    <x v="1"/>
  </r>
  <r>
    <s v="ventas_arequipa_mar.xlsx"/>
    <x v="65"/>
    <x v="0"/>
    <s v="BEL001"/>
    <s v="Perfume Floral"/>
    <x v="0"/>
    <x v="1"/>
    <s v="Kevin Vargas"/>
    <n v="1"/>
    <n v="170"/>
    <n v="0"/>
    <n v="170"/>
    <x v="1"/>
  </r>
  <r>
    <s v="ventas_arequipa_mar.xlsx"/>
    <x v="79"/>
    <x v="0"/>
    <s v="BEL003"/>
    <s v="Shampoo Nutritivo"/>
    <x v="0"/>
    <x v="0"/>
    <s v="Elena Vera"/>
    <n v="1"/>
    <n v="45"/>
    <n v="0.1"/>
    <n v="40.5"/>
    <x v="2"/>
  </r>
  <r>
    <s v="ventas_arequipa_mar.xlsx"/>
    <x v="80"/>
    <x v="0"/>
    <s v="MOD001"/>
    <s v="Casaca Denim"/>
    <x v="3"/>
    <x v="0"/>
    <s v="Gabriela Núñez"/>
    <n v="1"/>
    <n v="160"/>
    <n v="0"/>
    <n v="160"/>
    <x v="2"/>
  </r>
  <r>
    <s v="ventas_arequipa_mar.xlsx"/>
    <x v="70"/>
    <x v="0"/>
    <s v="MOD001"/>
    <s v="Casaca Denim"/>
    <x v="3"/>
    <x v="1"/>
    <s v="Miguel Herrera"/>
    <n v="3"/>
    <n v="160"/>
    <n v="0"/>
    <n v="480"/>
    <x v="0"/>
  </r>
  <r>
    <s v="ventas_arequipa_mar.xlsx"/>
    <x v="86"/>
    <x v="0"/>
    <s v="MOD003"/>
    <s v="Polo Básico"/>
    <x v="3"/>
    <x v="1"/>
    <s v="Paola Arias"/>
    <n v="1"/>
    <n v="55"/>
    <n v="0"/>
    <n v="55"/>
    <x v="0"/>
  </r>
  <r>
    <s v="ventas_arequipa_mar.xlsx"/>
    <x v="75"/>
    <x v="0"/>
    <s v="DEP001"/>
    <s v="Mancuernas 5kg"/>
    <x v="4"/>
    <x v="0"/>
    <s v="Fernando Ruiz"/>
    <n v="4"/>
    <n v="140"/>
    <n v="0"/>
    <n v="560"/>
    <x v="2"/>
  </r>
  <r>
    <s v="ventas_arequipa_mar.xlsx"/>
    <x v="80"/>
    <x v="0"/>
    <s v="BEL001"/>
    <s v="Perfume Floral"/>
    <x v="0"/>
    <x v="1"/>
    <s v="Cliente no registrado"/>
    <n v="4"/>
    <n v="170"/>
    <n v="0.1"/>
    <n v="612"/>
    <x v="3"/>
  </r>
  <r>
    <s v="ventas_arequipa_mar.xlsx"/>
    <x v="63"/>
    <x v="0"/>
    <s v="DEP001"/>
    <s v="Mancuernas 5kg"/>
    <x v="4"/>
    <x v="1"/>
    <s v="Camila Paredes"/>
    <n v="4"/>
    <n v="140"/>
    <n v="0"/>
    <n v="560"/>
    <x v="3"/>
  </r>
  <r>
    <s v="ventas_arequipa_mar.xlsx"/>
    <x v="60"/>
    <x v="0"/>
    <s v="DEP002"/>
    <s v="Mat de Yoga"/>
    <x v="4"/>
    <x v="1"/>
    <s v="Lucía Pérez"/>
    <n v="1"/>
    <n v="85"/>
    <n v="0.05"/>
    <n v="80.75"/>
    <x v="0"/>
  </r>
  <r>
    <s v="ventas_arequipa_mar.xlsx"/>
    <x v="78"/>
    <x v="0"/>
    <s v="TEC003"/>
    <s v="Audífonos JBL"/>
    <x v="1"/>
    <x v="0"/>
    <s v="Diana Salas"/>
    <n v="4"/>
    <n v="220"/>
    <n v="0"/>
    <n v="880"/>
    <x v="0"/>
  </r>
  <r>
    <s v="ventas_arequipa_mar.xlsx"/>
    <x v="63"/>
    <x v="0"/>
    <s v="DEP003"/>
    <s v="Tomatodo Deportivo"/>
    <x v="4"/>
    <x v="0"/>
    <s v="Gabriela Núñez"/>
    <n v="4"/>
    <n v="35"/>
    <n v="0"/>
    <n v="140"/>
    <x v="0"/>
  </r>
  <r>
    <s v="ventas_arequipa_mar.xlsx"/>
    <x v="72"/>
    <x v="0"/>
    <s v="TEC002"/>
    <s v="Mouse Logitech"/>
    <x v="1"/>
    <x v="0"/>
    <s v="Daniela Rivas"/>
    <n v="4"/>
    <n v="75"/>
    <n v="0"/>
    <n v="300"/>
    <x v="2"/>
  </r>
  <r>
    <s v="ventas_arequipa_mar.xlsx"/>
    <x v="86"/>
    <x v="0"/>
    <s v="TEC001"/>
    <s v="Laptop Lenovo"/>
    <x v="1"/>
    <x v="1"/>
    <s v="Camila Paredes"/>
    <n v="1"/>
    <n v="2800"/>
    <n v="0.1"/>
    <n v="2520"/>
    <x v="0"/>
  </r>
  <r>
    <s v="ventas_arequipa_mar.xlsx"/>
    <x v="69"/>
    <x v="0"/>
    <s v="TEC002"/>
    <s v="Mouse Logitech"/>
    <x v="1"/>
    <x v="1"/>
    <s v="Gabriela Núñez"/>
    <n v="5"/>
    <n v="75"/>
    <n v="0.05"/>
    <n v="356.25"/>
    <x v="3"/>
  </r>
  <r>
    <s v="ventas_huancayo_ene.xlsx"/>
    <x v="15"/>
    <x v="1"/>
    <s v="HOG001"/>
    <s v="Licuadora Oster"/>
    <x v="2"/>
    <x v="2"/>
    <s v="Fernando Ruiz"/>
    <n v="1"/>
    <n v="180"/>
    <n v="0"/>
    <n v="180"/>
    <x v="3"/>
  </r>
  <r>
    <s v="ventas_huancayo_ene.xlsx"/>
    <x v="22"/>
    <x v="1"/>
    <s v="DEP001"/>
    <s v="Mancuernas 5kg"/>
    <x v="4"/>
    <x v="3"/>
    <s v="Fiorella Díaz"/>
    <n v="4"/>
    <n v="140"/>
    <n v="0"/>
    <n v="560"/>
    <x v="3"/>
  </r>
  <r>
    <s v="ventas_huancayo_ene.xlsx"/>
    <x v="7"/>
    <x v="1"/>
    <s v="TEC001"/>
    <s v="Laptop Lenovo"/>
    <x v="1"/>
    <x v="2"/>
    <s v="Julio Campos"/>
    <n v="2"/>
    <n v="2800"/>
    <n v="0.1"/>
    <n v="5040"/>
    <x v="2"/>
  </r>
  <r>
    <s v="ventas_huancayo_ene.xlsx"/>
    <x v="29"/>
    <x v="1"/>
    <s v="DEP001"/>
    <s v="Mancuernas 5kg"/>
    <x v="4"/>
    <x v="2"/>
    <s v="Pedro Chávez"/>
    <n v="3"/>
    <n v="140"/>
    <n v="0.1"/>
    <n v="378"/>
    <x v="0"/>
  </r>
  <r>
    <s v="ventas_huancayo_ene.xlsx"/>
    <x v="16"/>
    <x v="1"/>
    <s v="MOD001"/>
    <s v="Casaca Denim"/>
    <x v="3"/>
    <x v="3"/>
    <s v="Gabriela Núñez"/>
    <n v="4"/>
    <n v="160"/>
    <n v="0.05"/>
    <n v="608"/>
    <x v="3"/>
  </r>
  <r>
    <s v="ventas_huancayo_ene.xlsx"/>
    <x v="6"/>
    <x v="1"/>
    <s v="MOD001"/>
    <s v="Casaca Denim"/>
    <x v="3"/>
    <x v="3"/>
    <s v="Ana Torres"/>
    <n v="5"/>
    <n v="160"/>
    <n v="0"/>
    <n v="800"/>
    <x v="1"/>
  </r>
  <r>
    <s v="ventas_huancayo_ene.xlsx"/>
    <x v="8"/>
    <x v="1"/>
    <s v="TEC003"/>
    <s v="Audífonos JBL"/>
    <x v="1"/>
    <x v="3"/>
    <s v="Karina Aguilar"/>
    <n v="5"/>
    <n v="220"/>
    <n v="0.05"/>
    <n v="1045"/>
    <x v="2"/>
  </r>
  <r>
    <s v="ventas_huancayo_ene.xlsx"/>
    <x v="15"/>
    <x v="1"/>
    <s v="MOD001"/>
    <s v="Casaca Denim"/>
    <x v="3"/>
    <x v="3"/>
    <s v="Iván Soto"/>
    <n v="4"/>
    <n v="160"/>
    <n v="0.1"/>
    <n v="576"/>
    <x v="1"/>
  </r>
  <r>
    <s v="ventas_huancayo_ene.xlsx"/>
    <x v="10"/>
    <x v="1"/>
    <s v="MOD001"/>
    <s v="Casaca Denim"/>
    <x v="3"/>
    <x v="2"/>
    <s v="Sofía Navarro"/>
    <n v="4"/>
    <n v="160"/>
    <n v="0"/>
    <n v="640"/>
    <x v="3"/>
  </r>
  <r>
    <s v="ventas_huancayo_ene.xlsx"/>
    <x v="0"/>
    <x v="1"/>
    <s v="DEP001"/>
    <s v="Mancuernas 5kg"/>
    <x v="4"/>
    <x v="2"/>
    <s v="Sofía Navarro"/>
    <n v="3"/>
    <n v="140"/>
    <n v="0.05"/>
    <n v="399"/>
    <x v="0"/>
  </r>
  <r>
    <s v="ventas_huancayo_ene.xlsx"/>
    <x v="1"/>
    <x v="1"/>
    <s v="HOG002"/>
    <s v="Juego de Sábanas"/>
    <x v="2"/>
    <x v="2"/>
    <s v="Julio Campos"/>
    <n v="4"/>
    <n v="120"/>
    <n v="0.1"/>
    <n v="432"/>
    <x v="3"/>
  </r>
  <r>
    <s v="ventas_huancayo_ene.xlsx"/>
    <x v="26"/>
    <x v="1"/>
    <s v="MOD001"/>
    <s v="Casaca Denim"/>
    <x v="3"/>
    <x v="3"/>
    <s v="Karina Aguilar"/>
    <n v="2"/>
    <n v="160"/>
    <n v="0"/>
    <n v="320"/>
    <x v="1"/>
  </r>
  <r>
    <s v="ventas_huancayo_ene.xlsx"/>
    <x v="12"/>
    <x v="1"/>
    <s v="TEC003"/>
    <s v="Audífonos JBL"/>
    <x v="1"/>
    <x v="3"/>
    <s v="Iván Soto"/>
    <n v="5"/>
    <n v="220"/>
    <n v="0"/>
    <n v="1100"/>
    <x v="1"/>
  </r>
  <r>
    <s v="ventas_huancayo_ene.xlsx"/>
    <x v="16"/>
    <x v="1"/>
    <s v="TEC001"/>
    <s v="Laptop Lenovo"/>
    <x v="1"/>
    <x v="2"/>
    <s v="Ana Torres"/>
    <n v="5"/>
    <n v="2800"/>
    <n v="0.05"/>
    <n v="13300"/>
    <x v="3"/>
  </r>
  <r>
    <s v="ventas_huancayo_ene.xlsx"/>
    <x v="18"/>
    <x v="1"/>
    <s v="TEC002"/>
    <s v="Mouse Logitech"/>
    <x v="1"/>
    <x v="2"/>
    <s v="Fiorella Díaz"/>
    <n v="1"/>
    <n v="75"/>
    <n v="0"/>
    <n v="75"/>
    <x v="0"/>
  </r>
  <r>
    <s v="ventas_huancayo_ene.xlsx"/>
    <x v="30"/>
    <x v="1"/>
    <s v="MOD002"/>
    <s v="Zapatillas Urbanas"/>
    <x v="3"/>
    <x v="3"/>
    <s v="Julio Campos"/>
    <n v="3"/>
    <n v="210"/>
    <n v="0"/>
    <n v="630"/>
    <x v="2"/>
  </r>
  <r>
    <s v="ventas_huancayo_ene.xlsx"/>
    <x v="28"/>
    <x v="1"/>
    <s v="HOG003"/>
    <s v="Sartén Antiadherente"/>
    <x v="2"/>
    <x v="2"/>
    <s v="Diana Salas"/>
    <n v="5"/>
    <n v="95"/>
    <n v="0"/>
    <n v="475"/>
    <x v="3"/>
  </r>
  <r>
    <s v="ventas_huancayo_ene.xlsx"/>
    <x v="8"/>
    <x v="1"/>
    <s v="HOG002"/>
    <s v="Juego de Sábanas"/>
    <x v="2"/>
    <x v="3"/>
    <s v="Mónica Palomino"/>
    <n v="5"/>
    <n v="120"/>
    <n v="0"/>
    <n v="600"/>
    <x v="3"/>
  </r>
  <r>
    <s v="ventas_huancayo_ene.xlsx"/>
    <x v="14"/>
    <x v="1"/>
    <s v="BEL001"/>
    <s v="Perfume Floral"/>
    <x v="0"/>
    <x v="3"/>
    <s v="Julio Campos"/>
    <n v="4"/>
    <n v="170"/>
    <n v="0"/>
    <n v="680"/>
    <x v="3"/>
  </r>
  <r>
    <s v="ventas_huancayo_ene.xlsx"/>
    <x v="16"/>
    <x v="1"/>
    <s v="MOD001"/>
    <s v="Casaca Denim"/>
    <x v="3"/>
    <x v="2"/>
    <s v="Renato Flores"/>
    <n v="3"/>
    <n v="160"/>
    <n v="0.1"/>
    <n v="432"/>
    <x v="3"/>
  </r>
  <r>
    <s v="ventas_huancayo_ene.xlsx"/>
    <x v="7"/>
    <x v="1"/>
    <s v="TEC001"/>
    <s v="Laptop Lenovo"/>
    <x v="1"/>
    <x v="3"/>
    <s v="César Salcedo"/>
    <n v="4"/>
    <n v="2800"/>
    <n v="0.05"/>
    <n v="10640"/>
    <x v="2"/>
  </r>
  <r>
    <s v="ventas_huancayo_ene.xlsx"/>
    <x v="11"/>
    <x v="1"/>
    <s v="MOD002"/>
    <s v="Zapatillas Urbanas"/>
    <x v="3"/>
    <x v="3"/>
    <s v="Javier Núñez"/>
    <n v="1"/>
    <n v="210"/>
    <n v="0"/>
    <n v="210"/>
    <x v="3"/>
  </r>
  <r>
    <s v="ventas_huancayo_ene.xlsx"/>
    <x v="2"/>
    <x v="1"/>
    <s v="TEC002"/>
    <s v="Mouse Logitech"/>
    <x v="1"/>
    <x v="3"/>
    <s v="Rosa Mendoza"/>
    <n v="4"/>
    <n v="75"/>
    <n v="0"/>
    <n v="300"/>
    <x v="1"/>
  </r>
  <r>
    <s v="ventas_huancayo_ene.xlsx"/>
    <x v="16"/>
    <x v="1"/>
    <s v="MOD001"/>
    <s v="Casaca Denim"/>
    <x v="3"/>
    <x v="3"/>
    <s v="Javier Núñez"/>
    <n v="3"/>
    <n v="160"/>
    <n v="0"/>
    <n v="480"/>
    <x v="0"/>
  </r>
  <r>
    <s v="ventas_huancayo_ene.xlsx"/>
    <x v="25"/>
    <x v="1"/>
    <s v="BEL001"/>
    <s v="Perfume Floral"/>
    <x v="0"/>
    <x v="3"/>
    <s v="Carlos Rojas"/>
    <n v="5"/>
    <n v="170"/>
    <n v="0"/>
    <n v="850"/>
    <x v="1"/>
  </r>
  <r>
    <s v="ventas_huancayo_ene.xlsx"/>
    <x v="9"/>
    <x v="1"/>
    <s v="HOG001"/>
    <s v="Licuadora Oster"/>
    <x v="2"/>
    <x v="2"/>
    <s v="Jorge Castillo"/>
    <n v="3"/>
    <n v="180"/>
    <n v="0.15"/>
    <n v="459"/>
    <x v="1"/>
  </r>
  <r>
    <s v="ventas_huancayo_ene.xlsx"/>
    <x v="27"/>
    <x v="1"/>
    <s v="MOD001"/>
    <s v="Casaca Denim"/>
    <x v="3"/>
    <x v="3"/>
    <s v="Pedro Chávez"/>
    <n v="3"/>
    <n v="160"/>
    <n v="0.1"/>
    <n v="432"/>
    <x v="0"/>
  </r>
  <r>
    <s v="ventas_huancayo_ene.xlsx"/>
    <x v="6"/>
    <x v="1"/>
    <s v="HOG003"/>
    <s v="Sartén Antiadherente"/>
    <x v="2"/>
    <x v="2"/>
    <s v="María López"/>
    <n v="2"/>
    <n v="95"/>
    <n v="0"/>
    <n v="190"/>
    <x v="3"/>
  </r>
  <r>
    <s v="ventas_huancayo_ene.xlsx"/>
    <x v="5"/>
    <x v="1"/>
    <s v="MOD003"/>
    <s v="Polo Básico"/>
    <x v="3"/>
    <x v="2"/>
    <s v="Daniela Rivas"/>
    <n v="2"/>
    <n v="55"/>
    <n v="0"/>
    <n v="110"/>
    <x v="0"/>
  </r>
  <r>
    <s v="ventas_huancayo_ene.xlsx"/>
    <x v="24"/>
    <x v="1"/>
    <s v="MOD001"/>
    <s v="Casaca Denim"/>
    <x v="3"/>
    <x v="3"/>
    <s v="Kevin Vargas"/>
    <n v="1"/>
    <n v="160"/>
    <n v="0.1"/>
    <n v="144"/>
    <x v="1"/>
  </r>
  <r>
    <s v="ventas_huancayo_ene.xlsx"/>
    <x v="12"/>
    <x v="1"/>
    <s v="MOD001"/>
    <s v="Casaca Denim"/>
    <x v="3"/>
    <x v="3"/>
    <s v="Paola Arias"/>
    <n v="3"/>
    <n v="160"/>
    <n v="0.15"/>
    <n v="408"/>
    <x v="0"/>
  </r>
  <r>
    <s v="ventas_huancayo_ene.xlsx"/>
    <x v="18"/>
    <x v="1"/>
    <s v="TEC003"/>
    <s v="Audífonos JBL"/>
    <x v="1"/>
    <x v="2"/>
    <s v="Miguel Herrera"/>
    <n v="4"/>
    <n v="220"/>
    <n v="0.1"/>
    <n v="792"/>
    <x v="0"/>
  </r>
  <r>
    <s v="ventas_huancayo_ene.xlsx"/>
    <x v="1"/>
    <x v="1"/>
    <s v="BEL003"/>
    <s v="Shampoo Nutritivo"/>
    <x v="0"/>
    <x v="3"/>
    <s v="Elena Vera"/>
    <n v="3"/>
    <n v="45"/>
    <n v="0"/>
    <n v="135"/>
    <x v="1"/>
  </r>
  <r>
    <s v="ventas_huancayo_ene.xlsx"/>
    <x v="28"/>
    <x v="1"/>
    <s v="BEL002"/>
    <s v="Crema Facial"/>
    <x v="0"/>
    <x v="3"/>
    <s v="Renato Flores"/>
    <n v="4"/>
    <n v="60"/>
    <n v="0.1"/>
    <n v="216"/>
    <x v="0"/>
  </r>
  <r>
    <s v="ventas_huancayo_ene.xlsx"/>
    <x v="10"/>
    <x v="1"/>
    <s v="TEC003"/>
    <s v="Audífonos JBL"/>
    <x v="1"/>
    <x v="2"/>
    <s v="Alessandra Peña"/>
    <n v="2"/>
    <n v="220"/>
    <n v="0.05"/>
    <n v="418"/>
    <x v="1"/>
  </r>
  <r>
    <s v="ventas_huancayo_ene.xlsx"/>
    <x v="14"/>
    <x v="1"/>
    <s v="HOG002"/>
    <s v="Juego de Sábanas"/>
    <x v="2"/>
    <x v="2"/>
    <s v="Pedro Chávez"/>
    <n v="4"/>
    <n v="120"/>
    <n v="0"/>
    <n v="480"/>
    <x v="0"/>
  </r>
  <r>
    <s v="ventas_huancayo_ene.xlsx"/>
    <x v="7"/>
    <x v="1"/>
    <s v="DEP002"/>
    <s v="Mat de Yoga"/>
    <x v="4"/>
    <x v="3"/>
    <s v="Omar Cárdenas"/>
    <n v="2"/>
    <n v="85"/>
    <n v="0"/>
    <n v="170"/>
    <x v="0"/>
  </r>
  <r>
    <s v="ventas_huancayo_ene.xlsx"/>
    <x v="11"/>
    <x v="1"/>
    <s v="BEL001"/>
    <s v="Perfume Floral"/>
    <x v="0"/>
    <x v="3"/>
    <s v="Pedro Chávez"/>
    <n v="3"/>
    <n v="170"/>
    <n v="0.1"/>
    <n v="459"/>
    <x v="0"/>
  </r>
  <r>
    <s v="ventas_huancayo_ene.xlsx"/>
    <x v="2"/>
    <x v="1"/>
    <s v="DEP003"/>
    <s v="Tomatodo Deportivo"/>
    <x v="4"/>
    <x v="2"/>
    <s v="Bruno Medina"/>
    <n v="4"/>
    <n v="35"/>
    <n v="0.15"/>
    <n v="119"/>
    <x v="3"/>
  </r>
  <r>
    <s v="ventas_huancayo_ene.xlsx"/>
    <x v="7"/>
    <x v="1"/>
    <s v="BEL003"/>
    <s v="Shampoo Nutritivo"/>
    <x v="0"/>
    <x v="3"/>
    <s v="Cliente no registrado"/>
    <n v="5"/>
    <n v="45"/>
    <n v="0"/>
    <n v="225"/>
    <x v="1"/>
  </r>
  <r>
    <s v="ventas_huancayo_ene.xlsx"/>
    <x v="1"/>
    <x v="1"/>
    <s v="MOD001"/>
    <s v="Casaca Denim"/>
    <x v="3"/>
    <x v="3"/>
    <s v="Renato Flores"/>
    <n v="3"/>
    <n v="160"/>
    <n v="0.05"/>
    <n v="456"/>
    <x v="3"/>
  </r>
  <r>
    <s v="ventas_huancayo_ene.xlsx"/>
    <x v="26"/>
    <x v="1"/>
    <s v="TEC001"/>
    <s v="Laptop Lenovo"/>
    <x v="1"/>
    <x v="2"/>
    <s v="Daniela Rivas"/>
    <n v="5"/>
    <n v="2800"/>
    <n v="0"/>
    <n v="14000"/>
    <x v="3"/>
  </r>
  <r>
    <s v="ventas_huancayo_ene.xlsx"/>
    <x v="18"/>
    <x v="1"/>
    <s v="BEL002"/>
    <s v="Crema Facial"/>
    <x v="0"/>
    <x v="2"/>
    <s v="Carlos Rojas"/>
    <n v="3"/>
    <n v="60"/>
    <n v="0.05"/>
    <n v="171"/>
    <x v="0"/>
  </r>
  <r>
    <s v="ventas_huancayo_ene.xlsx"/>
    <x v="28"/>
    <x v="1"/>
    <s v="BEL003"/>
    <s v="Shampoo Nutritivo"/>
    <x v="0"/>
    <x v="2"/>
    <s v="Miguel Herrera"/>
    <n v="1"/>
    <n v="45"/>
    <n v="0"/>
    <n v="45"/>
    <x v="3"/>
  </r>
  <r>
    <s v="ventas_huancayo_ene.xlsx"/>
    <x v="4"/>
    <x v="1"/>
    <s v="MOD003"/>
    <s v="Polo Básico"/>
    <x v="3"/>
    <x v="2"/>
    <s v="Marco Espinoza"/>
    <n v="2"/>
    <n v="55"/>
    <n v="0.1"/>
    <n v="99"/>
    <x v="3"/>
  </r>
  <r>
    <s v="ventas_huancayo_ene.xlsx"/>
    <x v="14"/>
    <x v="1"/>
    <s v="BEL003"/>
    <s v="Shampoo Nutritivo"/>
    <x v="0"/>
    <x v="2"/>
    <s v="Renato Flores"/>
    <n v="3"/>
    <n v="45"/>
    <n v="0"/>
    <n v="135"/>
    <x v="0"/>
  </r>
  <r>
    <s v="ventas_huancayo_ene.xlsx"/>
    <x v="4"/>
    <x v="1"/>
    <s v="TEC002"/>
    <s v="Mouse Logitech"/>
    <x v="1"/>
    <x v="3"/>
    <s v="Diana Salas"/>
    <n v="3"/>
    <n v="75"/>
    <n v="0"/>
    <n v="225"/>
    <x v="2"/>
  </r>
  <r>
    <s v="ventas_huancayo_ene.xlsx"/>
    <x v="20"/>
    <x v="1"/>
    <s v="BEL003"/>
    <s v="Shampoo Nutritivo"/>
    <x v="0"/>
    <x v="2"/>
    <s v="Sofía Navarro"/>
    <n v="4"/>
    <n v="45"/>
    <n v="0"/>
    <n v="180"/>
    <x v="2"/>
  </r>
  <r>
    <s v="ventas_huancayo_ene.xlsx"/>
    <x v="1"/>
    <x v="1"/>
    <s v="BEL003"/>
    <s v="Shampoo Nutritivo"/>
    <x v="0"/>
    <x v="2"/>
    <s v="Mónica Palomino"/>
    <n v="5"/>
    <n v="45"/>
    <n v="0"/>
    <n v="225"/>
    <x v="2"/>
  </r>
  <r>
    <s v="ventas_huancayo_ene.xlsx"/>
    <x v="26"/>
    <x v="1"/>
    <s v="HOG002"/>
    <s v="Juego de Sábanas"/>
    <x v="2"/>
    <x v="2"/>
    <s v="Rosa Mendoza"/>
    <n v="2"/>
    <n v="120"/>
    <n v="0.05"/>
    <n v="228"/>
    <x v="2"/>
  </r>
  <r>
    <s v="ventas_huancayo_ene.xlsx"/>
    <x v="13"/>
    <x v="1"/>
    <s v="MOD002"/>
    <s v="Zapatillas Urbanas"/>
    <x v="3"/>
    <x v="2"/>
    <s v="Miguel Herrera"/>
    <n v="2"/>
    <n v="210"/>
    <n v="0"/>
    <n v="420"/>
    <x v="2"/>
  </r>
  <r>
    <s v="ventas_huancayo_ene.xlsx"/>
    <x v="27"/>
    <x v="1"/>
    <s v="MOD003"/>
    <s v="Polo Básico"/>
    <x v="3"/>
    <x v="2"/>
    <s v="Gabriela Núñez"/>
    <n v="1"/>
    <n v="55"/>
    <n v="0"/>
    <n v="55"/>
    <x v="1"/>
  </r>
  <r>
    <s v="ventas_huancayo_ene.xlsx"/>
    <x v="14"/>
    <x v="1"/>
    <s v="DEP002"/>
    <s v="Mat de Yoga"/>
    <x v="4"/>
    <x v="2"/>
    <s v="Renato Flores"/>
    <n v="4"/>
    <n v="85"/>
    <n v="0"/>
    <n v="340"/>
    <x v="1"/>
  </r>
  <r>
    <s v="ventas_huancayo_ene.xlsx"/>
    <x v="4"/>
    <x v="1"/>
    <s v="DEP002"/>
    <s v="Mat de Yoga"/>
    <x v="4"/>
    <x v="2"/>
    <s v="Iván Soto"/>
    <n v="5"/>
    <n v="85"/>
    <n v="0"/>
    <n v="425"/>
    <x v="3"/>
  </r>
  <r>
    <s v="ventas_huancayo_ene.xlsx"/>
    <x v="19"/>
    <x v="1"/>
    <s v="MOD001"/>
    <s v="Casaca Denim"/>
    <x v="3"/>
    <x v="3"/>
    <s v="María López"/>
    <n v="1"/>
    <n v="160"/>
    <n v="0"/>
    <n v="160"/>
    <x v="0"/>
  </r>
  <r>
    <s v="ventas_huancayo_ene.xlsx"/>
    <x v="26"/>
    <x v="1"/>
    <s v="MOD003"/>
    <s v="Polo Básico"/>
    <x v="3"/>
    <x v="3"/>
    <s v="Marco Espinoza"/>
    <n v="1"/>
    <n v="55"/>
    <n v="0"/>
    <n v="55"/>
    <x v="0"/>
  </r>
  <r>
    <s v="ventas_huancayo_ene.xlsx"/>
    <x v="7"/>
    <x v="1"/>
    <s v="MOD001"/>
    <s v="Casaca Denim"/>
    <x v="3"/>
    <x v="2"/>
    <s v="Daniela Rivas"/>
    <n v="5"/>
    <n v="160"/>
    <n v="0"/>
    <n v="800"/>
    <x v="2"/>
  </r>
  <r>
    <s v="ventas_huancayo_ene.xlsx"/>
    <x v="1"/>
    <x v="1"/>
    <s v="MOD001"/>
    <s v="Casaca Denim"/>
    <x v="3"/>
    <x v="3"/>
    <s v="Bruno Medina"/>
    <n v="2"/>
    <n v="160"/>
    <n v="0"/>
    <n v="320"/>
    <x v="1"/>
  </r>
  <r>
    <s v="ventas_huancayo_ene.xlsx"/>
    <x v="14"/>
    <x v="1"/>
    <s v="HOG002"/>
    <s v="Juego de Sábanas"/>
    <x v="2"/>
    <x v="2"/>
    <s v="Iván Soto"/>
    <n v="3"/>
    <n v="120"/>
    <n v="0.05"/>
    <n v="342"/>
    <x v="1"/>
  </r>
  <r>
    <s v="ventas_huancayo_ene.xlsx"/>
    <x v="18"/>
    <x v="1"/>
    <s v="TEC002"/>
    <s v="Mouse Logitech"/>
    <x v="1"/>
    <x v="3"/>
    <s v="Julio Campos"/>
    <n v="1"/>
    <n v="75"/>
    <n v="0"/>
    <n v="75"/>
    <x v="1"/>
  </r>
  <r>
    <s v="ventas_huancayo_ene.xlsx"/>
    <x v="10"/>
    <x v="1"/>
    <s v="MOD003"/>
    <s v="Polo Básico"/>
    <x v="3"/>
    <x v="2"/>
    <s v="Javier Núñez"/>
    <n v="5"/>
    <n v="55"/>
    <n v="0.05"/>
    <n v="261.25"/>
    <x v="3"/>
  </r>
  <r>
    <s v="ventas_huancayo_ene.xlsx"/>
    <x v="26"/>
    <x v="1"/>
    <s v="BEL001"/>
    <s v="Perfume Floral"/>
    <x v="0"/>
    <x v="3"/>
    <s v="Elena Vera"/>
    <n v="1"/>
    <n v="170"/>
    <n v="0.15"/>
    <n v="144.5"/>
    <x v="2"/>
  </r>
  <r>
    <s v="ventas_huancayo_ene.xlsx"/>
    <x v="18"/>
    <x v="1"/>
    <s v="TEC002"/>
    <s v="Mouse Logitech"/>
    <x v="1"/>
    <x v="3"/>
    <s v="Miguel Herrera"/>
    <n v="4"/>
    <n v="75"/>
    <n v="0"/>
    <n v="300"/>
    <x v="1"/>
  </r>
  <r>
    <s v="ventas_huancayo_ene.xlsx"/>
    <x v="6"/>
    <x v="1"/>
    <s v="DEP003"/>
    <s v="Tomatodo Deportivo"/>
    <x v="4"/>
    <x v="2"/>
    <s v="César Salcedo"/>
    <n v="5"/>
    <n v="35"/>
    <n v="0"/>
    <n v="175"/>
    <x v="0"/>
  </r>
  <r>
    <s v="ventas_huancayo_ene.xlsx"/>
    <x v="12"/>
    <x v="1"/>
    <s v="TEC001"/>
    <s v="Laptop Lenovo"/>
    <x v="1"/>
    <x v="3"/>
    <s v="Kevin Vargas"/>
    <n v="3"/>
    <n v="2800"/>
    <n v="0.05"/>
    <n v="7980"/>
    <x v="2"/>
  </r>
  <r>
    <s v="ventas_huancayo_ene.xlsx"/>
    <x v="9"/>
    <x v="1"/>
    <s v="MOD003"/>
    <s v="Polo Básico"/>
    <x v="3"/>
    <x v="2"/>
    <s v="Gabriela Núñez"/>
    <n v="4"/>
    <n v="55"/>
    <n v="0"/>
    <n v="220"/>
    <x v="2"/>
  </r>
  <r>
    <s v="ventas_huancayo_ene.xlsx"/>
    <x v="14"/>
    <x v="1"/>
    <s v="HOG003"/>
    <s v="Sartén Antiadherente"/>
    <x v="2"/>
    <x v="3"/>
    <s v="Karina Aguilar"/>
    <n v="4"/>
    <n v="95"/>
    <n v="0"/>
    <n v="380"/>
    <x v="1"/>
  </r>
  <r>
    <s v="ventas_huancayo_ene.xlsx"/>
    <x v="26"/>
    <x v="1"/>
    <s v="BEL002"/>
    <s v="Crema Facial"/>
    <x v="0"/>
    <x v="2"/>
    <s v="Diana Salas"/>
    <n v="2"/>
    <n v="60"/>
    <n v="0"/>
    <n v="120"/>
    <x v="3"/>
  </r>
  <r>
    <s v="ventas_huancayo_ene.xlsx"/>
    <x v="6"/>
    <x v="1"/>
    <s v="DEP001"/>
    <s v="Mancuernas 5kg"/>
    <x v="4"/>
    <x v="3"/>
    <s v="Gabriela Núñez"/>
    <n v="4"/>
    <n v="140"/>
    <n v="0.05"/>
    <n v="532"/>
    <x v="1"/>
  </r>
  <r>
    <s v="ventas_huancayo_ene.xlsx"/>
    <x v="10"/>
    <x v="1"/>
    <s v="HOG003"/>
    <s v="Sartén Antiadherente"/>
    <x v="2"/>
    <x v="3"/>
    <s v="Pedro Chávez"/>
    <n v="1"/>
    <n v="95"/>
    <n v="0"/>
    <n v="95"/>
    <x v="1"/>
  </r>
  <r>
    <s v="ventas_huancayo_ene.xlsx"/>
    <x v="20"/>
    <x v="1"/>
    <s v="TEC003"/>
    <s v="Audífonos JBL"/>
    <x v="1"/>
    <x v="3"/>
    <s v="Karina Aguilar"/>
    <n v="5"/>
    <n v="220"/>
    <n v="0"/>
    <n v="1100"/>
    <x v="2"/>
  </r>
  <r>
    <s v="ventas_huancayo_ene.xlsx"/>
    <x v="8"/>
    <x v="1"/>
    <s v="DEP003"/>
    <s v="Tomatodo Deportivo"/>
    <x v="4"/>
    <x v="3"/>
    <s v="Kevin Vargas"/>
    <n v="3"/>
    <n v="35"/>
    <n v="0"/>
    <n v="105"/>
    <x v="2"/>
  </r>
  <r>
    <s v="ventas_huancayo_ene.xlsx"/>
    <x v="1"/>
    <x v="1"/>
    <s v="HOG003"/>
    <s v="Sartén Antiadherente"/>
    <x v="2"/>
    <x v="3"/>
    <s v="Javier Núñez"/>
    <n v="2"/>
    <n v="95"/>
    <n v="0"/>
    <n v="190"/>
    <x v="1"/>
  </r>
  <r>
    <s v="ventas_huancayo_ene.xlsx"/>
    <x v="13"/>
    <x v="1"/>
    <s v="MOD001"/>
    <s v="Casaca Denim"/>
    <x v="3"/>
    <x v="3"/>
    <s v="Elena Vera"/>
    <n v="4"/>
    <n v="160"/>
    <n v="0.1"/>
    <n v="576"/>
    <x v="3"/>
  </r>
  <r>
    <s v="ventas_huancayo_ene.xlsx"/>
    <x v="0"/>
    <x v="1"/>
    <s v="DEP002"/>
    <s v="Mat de Yoga"/>
    <x v="4"/>
    <x v="2"/>
    <s v="Kevin Vargas"/>
    <n v="4"/>
    <n v="85"/>
    <n v="0"/>
    <n v="340"/>
    <x v="3"/>
  </r>
  <r>
    <s v="ventas_huancayo_ene.xlsx"/>
    <x v="13"/>
    <x v="1"/>
    <s v="BEL001"/>
    <s v="Perfume Floral"/>
    <x v="0"/>
    <x v="2"/>
    <s v="Elena Vera"/>
    <n v="3"/>
    <n v="170"/>
    <n v="0"/>
    <n v="510"/>
    <x v="3"/>
  </r>
  <r>
    <s v="ventas_huancayo_ene.xlsx"/>
    <x v="9"/>
    <x v="1"/>
    <s v="MOD002"/>
    <s v="Zapatillas Urbanas"/>
    <x v="3"/>
    <x v="3"/>
    <s v="Karina Aguilar"/>
    <n v="4"/>
    <n v="210"/>
    <n v="0.1"/>
    <n v="756"/>
    <x v="2"/>
  </r>
  <r>
    <s v="ventas_huancayo_ene.xlsx"/>
    <x v="20"/>
    <x v="1"/>
    <s v="TEC001"/>
    <s v="Laptop Lenovo"/>
    <x v="1"/>
    <x v="3"/>
    <s v="Mónica Palomino"/>
    <n v="1"/>
    <n v="2800"/>
    <n v="0"/>
    <n v="2800"/>
    <x v="2"/>
  </r>
  <r>
    <s v="ventas_huancayo_ene.xlsx"/>
    <x v="15"/>
    <x v="1"/>
    <s v="HOG001"/>
    <s v="Licuadora Oster"/>
    <x v="2"/>
    <x v="2"/>
    <s v="Daniela Rivas"/>
    <n v="2"/>
    <n v="180"/>
    <n v="0"/>
    <n v="360"/>
    <x v="1"/>
  </r>
  <r>
    <s v="ventas_huancayo_ene.xlsx"/>
    <x v="5"/>
    <x v="1"/>
    <s v="TEC003"/>
    <s v="Audífonos JBL"/>
    <x v="1"/>
    <x v="3"/>
    <s v="Alessandra Peña"/>
    <n v="4"/>
    <n v="220"/>
    <n v="0"/>
    <n v="880"/>
    <x v="0"/>
  </r>
  <r>
    <s v="ventas_huancayo_ene.xlsx"/>
    <x v="29"/>
    <x v="1"/>
    <s v="BEL001"/>
    <s v="Perfume Floral"/>
    <x v="0"/>
    <x v="3"/>
    <s v="Pedro Chávez"/>
    <n v="3"/>
    <n v="170"/>
    <n v="0"/>
    <n v="510"/>
    <x v="0"/>
  </r>
  <r>
    <s v="ventas_huancayo_ene.xlsx"/>
    <x v="12"/>
    <x v="1"/>
    <s v="MOD003"/>
    <s v="Polo Básico"/>
    <x v="3"/>
    <x v="3"/>
    <s v="Carlos Rojas"/>
    <n v="3"/>
    <n v="55"/>
    <n v="0"/>
    <n v="165"/>
    <x v="0"/>
  </r>
  <r>
    <s v="ventas_huancayo_ene.xlsx"/>
    <x v="13"/>
    <x v="1"/>
    <s v="BEL001"/>
    <s v="Perfume Floral"/>
    <x v="0"/>
    <x v="2"/>
    <s v="Gabriela Núñez"/>
    <n v="1"/>
    <n v="170"/>
    <n v="0.05"/>
    <n v="161.5"/>
    <x v="3"/>
  </r>
  <r>
    <s v="ventas_huancayo_ene.xlsx"/>
    <x v="9"/>
    <x v="1"/>
    <s v="MOD001"/>
    <s v="Casaca Denim"/>
    <x v="3"/>
    <x v="2"/>
    <s v="Andrés Romero"/>
    <n v="5"/>
    <n v="160"/>
    <n v="0.15"/>
    <n v="680"/>
    <x v="2"/>
  </r>
  <r>
    <s v="ventas_huancayo_ene.xlsx"/>
    <x v="11"/>
    <x v="1"/>
    <s v="HOG002"/>
    <s v="Juego de Sábanas"/>
    <x v="2"/>
    <x v="2"/>
    <s v="Andrés Romero"/>
    <n v="4"/>
    <n v="120"/>
    <n v="0"/>
    <n v="480"/>
    <x v="0"/>
  </r>
  <r>
    <s v="ventas_huancayo_ene.xlsx"/>
    <x v="15"/>
    <x v="1"/>
    <s v="BEL003"/>
    <s v="Shampoo Nutritivo"/>
    <x v="0"/>
    <x v="2"/>
    <s v="Paola Arias"/>
    <n v="1"/>
    <n v="45"/>
    <n v="0"/>
    <n v="45"/>
    <x v="3"/>
  </r>
  <r>
    <s v="ventas_huancayo_ene.xlsx"/>
    <x v="14"/>
    <x v="1"/>
    <s v="MOD002"/>
    <s v="Zapatillas Urbanas"/>
    <x v="3"/>
    <x v="3"/>
    <s v="Karina Aguilar"/>
    <n v="5"/>
    <n v="210"/>
    <n v="0"/>
    <n v="1050"/>
    <x v="0"/>
  </r>
  <r>
    <s v="ventas_huancayo_ene.xlsx"/>
    <x v="4"/>
    <x v="1"/>
    <s v="DEP001"/>
    <s v="Mancuernas 5kg"/>
    <x v="4"/>
    <x v="3"/>
    <s v="Jorge Castillo"/>
    <n v="1"/>
    <n v="140"/>
    <n v="0.05"/>
    <n v="133"/>
    <x v="3"/>
  </r>
  <r>
    <s v="ventas_huancayo_ene.xlsx"/>
    <x v="25"/>
    <x v="1"/>
    <s v="HOG001"/>
    <s v="Licuadora Oster"/>
    <x v="2"/>
    <x v="2"/>
    <s v="Rosa Mendoza"/>
    <n v="5"/>
    <n v="180"/>
    <n v="0.1"/>
    <n v="810"/>
    <x v="0"/>
  </r>
  <r>
    <s v="ventas_huancayo_ene.xlsx"/>
    <x v="16"/>
    <x v="1"/>
    <s v="HOG002"/>
    <s v="Juego de Sábanas"/>
    <x v="2"/>
    <x v="2"/>
    <s v="Camila Paredes"/>
    <n v="4"/>
    <n v="120"/>
    <n v="0"/>
    <n v="480"/>
    <x v="0"/>
  </r>
  <r>
    <s v="ventas_huancayo_ene.xlsx"/>
    <x v="10"/>
    <x v="1"/>
    <s v="DEP003"/>
    <s v="Tomatodo Deportivo"/>
    <x v="4"/>
    <x v="3"/>
    <s v="Ana Torres"/>
    <n v="5"/>
    <n v="35"/>
    <n v="0"/>
    <n v="175"/>
    <x v="0"/>
  </r>
  <r>
    <s v="ventas_huancayo_ene.xlsx"/>
    <x v="21"/>
    <x v="1"/>
    <s v="HOG002"/>
    <s v="Juego de Sábanas"/>
    <x v="2"/>
    <x v="3"/>
    <s v="Rosa Mendoza"/>
    <n v="2"/>
    <n v="120"/>
    <n v="0"/>
    <n v="240"/>
    <x v="2"/>
  </r>
  <r>
    <s v="ventas_huancayo_ene.xlsx"/>
    <x v="3"/>
    <x v="1"/>
    <s v="TEC001"/>
    <s v="Laptop Lenovo"/>
    <x v="1"/>
    <x v="2"/>
    <s v="Alessandra Peña"/>
    <n v="1"/>
    <n v="2800"/>
    <n v="0"/>
    <n v="2800"/>
    <x v="2"/>
  </r>
  <r>
    <s v="ventas_huancayo_ene.xlsx"/>
    <x v="1"/>
    <x v="1"/>
    <s v="MOD003"/>
    <s v="Polo Básico"/>
    <x v="3"/>
    <x v="2"/>
    <s v="Carlos Rojas"/>
    <n v="2"/>
    <n v="55"/>
    <n v="0"/>
    <n v="110"/>
    <x v="3"/>
  </r>
  <r>
    <s v="ventas_huancayo_ene.xlsx"/>
    <x v="26"/>
    <x v="1"/>
    <s v="HOG003"/>
    <s v="Sartén Antiadherente"/>
    <x v="2"/>
    <x v="3"/>
    <s v="Andrés Romero"/>
    <n v="2"/>
    <n v="95"/>
    <n v="0.15"/>
    <n v="161.5"/>
    <x v="3"/>
  </r>
  <r>
    <s v="ventas_huancayo_ene.xlsx"/>
    <x v="7"/>
    <x v="1"/>
    <s v="HOG001"/>
    <s v="Licuadora Oster"/>
    <x v="2"/>
    <x v="3"/>
    <s v="Lucía Pérez"/>
    <n v="2"/>
    <n v="180"/>
    <n v="0"/>
    <n v="360"/>
    <x v="0"/>
  </r>
  <r>
    <s v="ventas_huancayo_ene.xlsx"/>
    <x v="24"/>
    <x v="1"/>
    <s v="DEP001"/>
    <s v="Mancuernas 5kg"/>
    <x v="4"/>
    <x v="3"/>
    <s v="Gabriela Núñez"/>
    <n v="5"/>
    <n v="140"/>
    <n v="0.15"/>
    <n v="595"/>
    <x v="3"/>
  </r>
  <r>
    <s v="ventas_huancayo_ene.xlsx"/>
    <x v="2"/>
    <x v="1"/>
    <s v="BEL003"/>
    <s v="Shampoo Nutritivo"/>
    <x v="0"/>
    <x v="3"/>
    <s v="Iván Soto"/>
    <n v="2"/>
    <n v="45"/>
    <n v="0.1"/>
    <n v="81"/>
    <x v="0"/>
  </r>
  <r>
    <s v="ventas_huancayo_ene.xlsx"/>
    <x v="23"/>
    <x v="1"/>
    <s v="MOD002"/>
    <s v="Zapatillas Urbanas"/>
    <x v="3"/>
    <x v="2"/>
    <s v="Karina Aguilar"/>
    <n v="1"/>
    <n v="210"/>
    <n v="0.05"/>
    <n v="199.5"/>
    <x v="2"/>
  </r>
  <r>
    <s v="ventas_huancayo_ene.xlsx"/>
    <x v="6"/>
    <x v="1"/>
    <s v="HOG001"/>
    <s v="Licuadora Oster"/>
    <x v="2"/>
    <x v="2"/>
    <s v="Renato Flores"/>
    <n v="5"/>
    <n v="180"/>
    <n v="0"/>
    <n v="900"/>
    <x v="3"/>
  </r>
  <r>
    <s v="ventas_huancayo_feb.xlsx"/>
    <x v="52"/>
    <x v="1"/>
    <s v="TEC001"/>
    <s v="Laptop Lenovo"/>
    <x v="1"/>
    <x v="3"/>
    <s v="Fiorella Díaz"/>
    <n v="4"/>
    <n v="2800"/>
    <n v="0"/>
    <n v="11200"/>
    <x v="1"/>
  </r>
  <r>
    <s v="ventas_huancayo_feb.xlsx"/>
    <x v="34"/>
    <x v="1"/>
    <s v="BEL003"/>
    <s v="Shampoo Nutritivo"/>
    <x v="0"/>
    <x v="3"/>
    <s v="Gabriela Núñez"/>
    <n v="1"/>
    <n v="45"/>
    <n v="0.05"/>
    <n v="42.75"/>
    <x v="2"/>
  </r>
  <r>
    <s v="ventas_huancayo_feb.xlsx"/>
    <x v="32"/>
    <x v="1"/>
    <s v="MOD001"/>
    <s v="Casaca Denim"/>
    <x v="3"/>
    <x v="3"/>
    <s v="Omar Cárdenas"/>
    <n v="1"/>
    <n v="160"/>
    <n v="0.15"/>
    <n v="136"/>
    <x v="2"/>
  </r>
  <r>
    <s v="ventas_huancayo_feb.xlsx"/>
    <x v="42"/>
    <x v="1"/>
    <s v="BEL002"/>
    <s v="Crema Facial"/>
    <x v="0"/>
    <x v="3"/>
    <s v="María López"/>
    <n v="5"/>
    <n v="60"/>
    <n v="0"/>
    <n v="300"/>
    <x v="1"/>
  </r>
  <r>
    <s v="ventas_huancayo_feb.xlsx"/>
    <x v="37"/>
    <x v="1"/>
    <s v="MOD002"/>
    <s v="Zapatillas Urbanas"/>
    <x v="3"/>
    <x v="2"/>
    <s v="Rosa Mendoza"/>
    <n v="4"/>
    <n v="210"/>
    <n v="0"/>
    <n v="840"/>
    <x v="2"/>
  </r>
  <r>
    <s v="ventas_huancayo_feb.xlsx"/>
    <x v="34"/>
    <x v="1"/>
    <s v="HOG002"/>
    <s v="Juego de Sábanas"/>
    <x v="2"/>
    <x v="3"/>
    <s v="Diana Salas"/>
    <n v="3"/>
    <n v="120"/>
    <n v="0.1"/>
    <n v="324"/>
    <x v="2"/>
  </r>
  <r>
    <s v="ventas_huancayo_feb.xlsx"/>
    <x v="48"/>
    <x v="1"/>
    <s v="TEC001"/>
    <s v="Laptop Lenovo"/>
    <x v="1"/>
    <x v="2"/>
    <s v="Kevin Vargas"/>
    <n v="2"/>
    <n v="2800"/>
    <n v="0"/>
    <n v="5600"/>
    <x v="3"/>
  </r>
  <r>
    <s v="ventas_huancayo_feb.xlsx"/>
    <x v="42"/>
    <x v="1"/>
    <s v="MOD001"/>
    <s v="Casaca Denim"/>
    <x v="3"/>
    <x v="2"/>
    <s v="Paola Arias"/>
    <n v="4"/>
    <n v="160"/>
    <n v="0"/>
    <n v="640"/>
    <x v="0"/>
  </r>
  <r>
    <s v="ventas_huancayo_feb.xlsx"/>
    <x v="31"/>
    <x v="1"/>
    <s v="BEL001"/>
    <s v="Perfume Floral"/>
    <x v="0"/>
    <x v="3"/>
    <s v="Fiorella Díaz"/>
    <n v="1"/>
    <n v="170"/>
    <n v="0"/>
    <n v="170"/>
    <x v="1"/>
  </r>
  <r>
    <s v="ventas_huancayo_feb.xlsx"/>
    <x v="46"/>
    <x v="1"/>
    <s v="TEC003"/>
    <s v="Audífonos JBL"/>
    <x v="1"/>
    <x v="2"/>
    <s v="Camila Paredes"/>
    <n v="3"/>
    <n v="220"/>
    <n v="0"/>
    <n v="660"/>
    <x v="1"/>
  </r>
  <r>
    <s v="ventas_huancayo_feb.xlsx"/>
    <x v="53"/>
    <x v="1"/>
    <s v="DEP001"/>
    <s v="Mancuernas 5kg"/>
    <x v="4"/>
    <x v="2"/>
    <s v="Javier Núñez"/>
    <n v="3"/>
    <n v="140"/>
    <n v="0.1"/>
    <n v="378"/>
    <x v="3"/>
  </r>
  <r>
    <s v="ventas_huancayo_feb.xlsx"/>
    <x v="45"/>
    <x v="1"/>
    <s v="MOD003"/>
    <s v="Polo Básico"/>
    <x v="3"/>
    <x v="2"/>
    <s v="Rosa Mendoza"/>
    <n v="5"/>
    <n v="55"/>
    <n v="0"/>
    <n v="275"/>
    <x v="1"/>
  </r>
  <r>
    <s v="ventas_huancayo_feb.xlsx"/>
    <x v="87"/>
    <x v="1"/>
    <s v="TEC001"/>
    <s v="Laptop Lenovo"/>
    <x v="1"/>
    <x v="3"/>
    <s v="Daniela Rivas"/>
    <n v="2"/>
    <n v="2800"/>
    <n v="0"/>
    <n v="5600"/>
    <x v="1"/>
  </r>
  <r>
    <s v="ventas_huancayo_feb.xlsx"/>
    <x v="33"/>
    <x v="1"/>
    <s v="MOD003"/>
    <s v="Polo Básico"/>
    <x v="3"/>
    <x v="2"/>
    <s v="Lucía Pérez"/>
    <n v="3"/>
    <n v="55"/>
    <n v="0.1"/>
    <n v="148.5"/>
    <x v="3"/>
  </r>
  <r>
    <s v="ventas_huancayo_feb.xlsx"/>
    <x v="87"/>
    <x v="1"/>
    <s v="DEP003"/>
    <s v="Tomatodo Deportivo"/>
    <x v="4"/>
    <x v="3"/>
    <s v="Paola Arias"/>
    <n v="1"/>
    <n v="35"/>
    <n v="0.1"/>
    <n v="31.5"/>
    <x v="1"/>
  </r>
  <r>
    <s v="ventas_huancayo_feb.xlsx"/>
    <x v="55"/>
    <x v="1"/>
    <s v="TEC003"/>
    <s v="Audífonos JBL"/>
    <x v="1"/>
    <x v="3"/>
    <s v="Camila Paredes"/>
    <n v="5"/>
    <n v="220"/>
    <n v="0"/>
    <n v="1100"/>
    <x v="3"/>
  </r>
  <r>
    <s v="ventas_huancayo_feb.xlsx"/>
    <x v="51"/>
    <x v="1"/>
    <s v="TEC003"/>
    <s v="Audífonos JBL"/>
    <x v="1"/>
    <x v="3"/>
    <s v="Rosa Mendoza"/>
    <n v="2"/>
    <n v="220"/>
    <n v="0.1"/>
    <n v="396"/>
    <x v="1"/>
  </r>
  <r>
    <s v="ventas_huancayo_feb.xlsx"/>
    <x v="49"/>
    <x v="1"/>
    <s v="MOD003"/>
    <s v="Polo Básico"/>
    <x v="3"/>
    <x v="3"/>
    <s v="Julio Campos"/>
    <n v="5"/>
    <n v="55"/>
    <n v="0"/>
    <n v="275"/>
    <x v="3"/>
  </r>
  <r>
    <s v="ventas_huancayo_feb.xlsx"/>
    <x v="36"/>
    <x v="1"/>
    <s v="TEC001"/>
    <s v="Laptop Lenovo"/>
    <x v="1"/>
    <x v="2"/>
    <s v="Andrés Romero"/>
    <n v="3"/>
    <n v="2800"/>
    <n v="0"/>
    <n v="8400"/>
    <x v="2"/>
  </r>
  <r>
    <s v="ventas_huancayo_feb.xlsx"/>
    <x v="34"/>
    <x v="1"/>
    <s v="MOD003"/>
    <s v="Polo Básico"/>
    <x v="3"/>
    <x v="3"/>
    <s v="Andrés Romero"/>
    <n v="5"/>
    <n v="55"/>
    <n v="0.05"/>
    <n v="261.25"/>
    <x v="3"/>
  </r>
  <r>
    <s v="ventas_huancayo_feb.xlsx"/>
    <x v="34"/>
    <x v="1"/>
    <s v="HOG002"/>
    <s v="Juego de Sábanas"/>
    <x v="2"/>
    <x v="3"/>
    <s v="Sofía Navarro"/>
    <n v="5"/>
    <n v="120"/>
    <n v="0"/>
    <n v="600"/>
    <x v="2"/>
  </r>
  <r>
    <s v="ventas_huancayo_feb.xlsx"/>
    <x v="43"/>
    <x v="1"/>
    <s v="TEC001"/>
    <s v="Laptop Lenovo"/>
    <x v="1"/>
    <x v="3"/>
    <s v="Renato Flores"/>
    <n v="3"/>
    <n v="2800"/>
    <n v="0"/>
    <n v="8400"/>
    <x v="2"/>
  </r>
  <r>
    <s v="ventas_huancayo_feb.xlsx"/>
    <x v="87"/>
    <x v="1"/>
    <s v="TEC002"/>
    <s v="Mouse Logitech"/>
    <x v="1"/>
    <x v="2"/>
    <s v="Renato Flores"/>
    <n v="2"/>
    <n v="75"/>
    <n v="0"/>
    <n v="150"/>
    <x v="3"/>
  </r>
  <r>
    <s v="ventas_huancayo_feb.xlsx"/>
    <x v="37"/>
    <x v="1"/>
    <s v="HOG003"/>
    <s v="Sartén Antiadherente"/>
    <x v="2"/>
    <x v="3"/>
    <s v="Fiorella Díaz"/>
    <n v="2"/>
    <n v="95"/>
    <n v="0"/>
    <n v="190"/>
    <x v="0"/>
  </r>
  <r>
    <s v="ventas_huancayo_feb.xlsx"/>
    <x v="42"/>
    <x v="1"/>
    <s v="BEL002"/>
    <s v="Crema Facial"/>
    <x v="0"/>
    <x v="2"/>
    <s v="Lucía Pérez"/>
    <n v="1"/>
    <n v="60"/>
    <n v="0.05"/>
    <n v="57"/>
    <x v="3"/>
  </r>
  <r>
    <s v="ventas_huancayo_feb.xlsx"/>
    <x v="33"/>
    <x v="1"/>
    <s v="MOD002"/>
    <s v="Zapatillas Urbanas"/>
    <x v="3"/>
    <x v="2"/>
    <s v="Renato Flores"/>
    <n v="2"/>
    <n v="210"/>
    <n v="0"/>
    <n v="420"/>
    <x v="1"/>
  </r>
  <r>
    <s v="ventas_huancayo_feb.xlsx"/>
    <x v="38"/>
    <x v="1"/>
    <s v="MOD002"/>
    <s v="Zapatillas Urbanas"/>
    <x v="3"/>
    <x v="2"/>
    <s v="Sofía Navarro"/>
    <n v="1"/>
    <n v="210"/>
    <n v="0"/>
    <n v="210"/>
    <x v="2"/>
  </r>
  <r>
    <s v="ventas_huancayo_feb.xlsx"/>
    <x v="32"/>
    <x v="1"/>
    <s v="BEL002"/>
    <s v="Crema Facial"/>
    <x v="0"/>
    <x v="2"/>
    <s v="Javier Núñez"/>
    <n v="3"/>
    <n v="60"/>
    <n v="0"/>
    <n v="180"/>
    <x v="0"/>
  </r>
  <r>
    <s v="ventas_huancayo_feb.xlsx"/>
    <x v="31"/>
    <x v="1"/>
    <s v="BEL003"/>
    <s v="Shampoo Nutritivo"/>
    <x v="0"/>
    <x v="3"/>
    <s v="Sofía Navarro"/>
    <n v="3"/>
    <n v="45"/>
    <n v="0.05"/>
    <n v="128.25"/>
    <x v="0"/>
  </r>
  <r>
    <s v="ventas_huancayo_feb.xlsx"/>
    <x v="36"/>
    <x v="1"/>
    <s v="HOG002"/>
    <s v="Juego de Sábanas"/>
    <x v="2"/>
    <x v="3"/>
    <s v="Kevin Vargas"/>
    <n v="2"/>
    <n v="120"/>
    <n v="0.05"/>
    <n v="228"/>
    <x v="0"/>
  </r>
  <r>
    <s v="ventas_huancayo_feb.xlsx"/>
    <x v="34"/>
    <x v="1"/>
    <s v="TEC003"/>
    <s v="Audífonos JBL"/>
    <x v="1"/>
    <x v="3"/>
    <s v="Pedro Chávez"/>
    <n v="5"/>
    <n v="220"/>
    <n v="0.1"/>
    <n v="990"/>
    <x v="2"/>
  </r>
  <r>
    <s v="ventas_huancayo_feb.xlsx"/>
    <x v="37"/>
    <x v="1"/>
    <s v="TEC003"/>
    <s v="Audífonos JBL"/>
    <x v="1"/>
    <x v="3"/>
    <s v="Karina Aguilar"/>
    <n v="1"/>
    <n v="220"/>
    <n v="0.1"/>
    <n v="198"/>
    <x v="1"/>
  </r>
  <r>
    <s v="ventas_huancayo_feb.xlsx"/>
    <x v="38"/>
    <x v="1"/>
    <s v="TEC003"/>
    <s v="Audífonos JBL"/>
    <x v="1"/>
    <x v="2"/>
    <s v="Jorge Castillo"/>
    <n v="3"/>
    <n v="220"/>
    <n v="0.1"/>
    <n v="594"/>
    <x v="3"/>
  </r>
  <r>
    <s v="ventas_huancayo_feb.xlsx"/>
    <x v="44"/>
    <x v="1"/>
    <s v="TEC002"/>
    <s v="Mouse Logitech"/>
    <x v="1"/>
    <x v="2"/>
    <s v="María López"/>
    <n v="1"/>
    <n v="75"/>
    <n v="0"/>
    <n v="75"/>
    <x v="0"/>
  </r>
  <r>
    <s v="ventas_huancayo_feb.xlsx"/>
    <x v="46"/>
    <x v="1"/>
    <s v="MOD001"/>
    <s v="Casaca Denim"/>
    <x v="3"/>
    <x v="2"/>
    <s v="Andrés Romero"/>
    <n v="3"/>
    <n v="160"/>
    <n v="0"/>
    <n v="480"/>
    <x v="1"/>
  </r>
  <r>
    <s v="ventas_huancayo_feb.xlsx"/>
    <x v="55"/>
    <x v="1"/>
    <s v="DEP002"/>
    <s v="Mat de Yoga"/>
    <x v="4"/>
    <x v="3"/>
    <s v="Alessandra Peña"/>
    <n v="1"/>
    <n v="85"/>
    <n v="0"/>
    <n v="85"/>
    <x v="3"/>
  </r>
  <r>
    <s v="ventas_huancayo_feb.xlsx"/>
    <x v="34"/>
    <x v="1"/>
    <s v="MOD002"/>
    <s v="Zapatillas Urbanas"/>
    <x v="3"/>
    <x v="2"/>
    <s v="Andrés Romero"/>
    <n v="4"/>
    <n v="210"/>
    <n v="0"/>
    <n v="840"/>
    <x v="2"/>
  </r>
  <r>
    <s v="ventas_huancayo_feb.xlsx"/>
    <x v="50"/>
    <x v="1"/>
    <s v="TEC003"/>
    <s v="Audífonos JBL"/>
    <x v="1"/>
    <x v="3"/>
    <s v="Cliente no registrado"/>
    <n v="1"/>
    <n v="220"/>
    <n v="0.05"/>
    <n v="209"/>
    <x v="0"/>
  </r>
  <r>
    <s v="ventas_huancayo_feb.xlsx"/>
    <x v="34"/>
    <x v="1"/>
    <s v="BEL003"/>
    <s v="Shampoo Nutritivo"/>
    <x v="0"/>
    <x v="2"/>
    <s v="Julio Campos"/>
    <n v="1"/>
    <n v="45"/>
    <n v="0"/>
    <n v="45"/>
    <x v="1"/>
  </r>
  <r>
    <s v="ventas_huancayo_feb.xlsx"/>
    <x v="46"/>
    <x v="1"/>
    <s v="HOG002"/>
    <s v="Juego de Sábanas"/>
    <x v="2"/>
    <x v="2"/>
    <s v="Daniela Rivas"/>
    <n v="5"/>
    <n v="120"/>
    <n v="0.1"/>
    <n v="540"/>
    <x v="2"/>
  </r>
  <r>
    <s v="ventas_huancayo_feb.xlsx"/>
    <x v="41"/>
    <x v="1"/>
    <s v="MOD003"/>
    <s v="Polo Básico"/>
    <x v="3"/>
    <x v="3"/>
    <s v="Lucía Pérez"/>
    <n v="4"/>
    <n v="55"/>
    <n v="0"/>
    <n v="220"/>
    <x v="3"/>
  </r>
  <r>
    <s v="ventas_huancayo_feb.xlsx"/>
    <x v="49"/>
    <x v="1"/>
    <s v="DEP002"/>
    <s v="Mat de Yoga"/>
    <x v="4"/>
    <x v="3"/>
    <s v="Carlos Rojas"/>
    <n v="5"/>
    <n v="85"/>
    <n v="0"/>
    <n v="425"/>
    <x v="3"/>
  </r>
  <r>
    <s v="ventas_huancayo_feb.xlsx"/>
    <x v="42"/>
    <x v="1"/>
    <s v="MOD003"/>
    <s v="Polo Básico"/>
    <x v="3"/>
    <x v="2"/>
    <s v="Pedro Chávez"/>
    <n v="4"/>
    <n v="55"/>
    <n v="0"/>
    <n v="220"/>
    <x v="3"/>
  </r>
  <r>
    <s v="ventas_huancayo_feb.xlsx"/>
    <x v="47"/>
    <x v="1"/>
    <s v="TEC003"/>
    <s v="Audífonos JBL"/>
    <x v="1"/>
    <x v="3"/>
    <s v="Iván Soto"/>
    <n v="1"/>
    <n v="220"/>
    <n v="0"/>
    <n v="220"/>
    <x v="1"/>
  </r>
  <r>
    <s v="ventas_huancayo_feb.xlsx"/>
    <x v="31"/>
    <x v="1"/>
    <s v="HOG002"/>
    <s v="Juego de Sábanas"/>
    <x v="2"/>
    <x v="3"/>
    <s v="Julio Campos"/>
    <n v="4"/>
    <n v="120"/>
    <n v="0"/>
    <n v="480"/>
    <x v="3"/>
  </r>
  <r>
    <s v="ventas_huancayo_feb.xlsx"/>
    <x v="45"/>
    <x v="1"/>
    <s v="TEC003"/>
    <s v="Audífonos JBL"/>
    <x v="1"/>
    <x v="2"/>
    <s v="Paola Arias"/>
    <n v="4"/>
    <n v="220"/>
    <n v="0"/>
    <n v="880"/>
    <x v="0"/>
  </r>
  <r>
    <s v="ventas_huancayo_feb.xlsx"/>
    <x v="32"/>
    <x v="1"/>
    <s v="TEC003"/>
    <s v="Audífonos JBL"/>
    <x v="1"/>
    <x v="2"/>
    <s v="Miguel Herrera"/>
    <n v="3"/>
    <n v="220"/>
    <n v="0.05"/>
    <n v="627"/>
    <x v="3"/>
  </r>
  <r>
    <s v="ventas_huancayo_feb.xlsx"/>
    <x v="50"/>
    <x v="1"/>
    <s v="BEL003"/>
    <s v="Shampoo Nutritivo"/>
    <x v="0"/>
    <x v="3"/>
    <s v="Fernando Ruiz"/>
    <n v="5"/>
    <n v="45"/>
    <n v="0"/>
    <n v="225"/>
    <x v="3"/>
  </r>
  <r>
    <s v="ventas_huancayo_feb.xlsx"/>
    <x v="33"/>
    <x v="1"/>
    <s v="MOD003"/>
    <s v="Polo Básico"/>
    <x v="3"/>
    <x v="3"/>
    <s v="Fiorella Díaz"/>
    <n v="2"/>
    <n v="55"/>
    <n v="0"/>
    <n v="110"/>
    <x v="1"/>
  </r>
  <r>
    <s v="ventas_huancayo_feb.xlsx"/>
    <x v="31"/>
    <x v="1"/>
    <s v="MOD002"/>
    <s v="Zapatillas Urbanas"/>
    <x v="3"/>
    <x v="2"/>
    <s v="Karina Aguilar"/>
    <n v="5"/>
    <n v="210"/>
    <n v="0.1"/>
    <n v="945"/>
    <x v="3"/>
  </r>
  <r>
    <s v="ventas_huancayo_feb.xlsx"/>
    <x v="56"/>
    <x v="1"/>
    <s v="TEC003"/>
    <s v="Audífonos JBL"/>
    <x v="1"/>
    <x v="2"/>
    <s v="Fernando Ruiz"/>
    <n v="2"/>
    <n v="220"/>
    <n v="0.15"/>
    <n v="374"/>
    <x v="1"/>
  </r>
  <r>
    <s v="ventas_huancayo_feb.xlsx"/>
    <x v="87"/>
    <x v="1"/>
    <s v="BEL003"/>
    <s v="Shampoo Nutritivo"/>
    <x v="0"/>
    <x v="2"/>
    <s v="Diana Salas"/>
    <n v="4"/>
    <n v="45"/>
    <n v="0"/>
    <n v="180"/>
    <x v="0"/>
  </r>
  <r>
    <s v="ventas_huancayo_feb.xlsx"/>
    <x v="52"/>
    <x v="1"/>
    <s v="BEL002"/>
    <s v="Crema Facial"/>
    <x v="0"/>
    <x v="3"/>
    <s v="Javier Núñez"/>
    <n v="1"/>
    <n v="60"/>
    <n v="0"/>
    <n v="60"/>
    <x v="0"/>
  </r>
  <r>
    <s v="ventas_huancayo_feb.xlsx"/>
    <x v="38"/>
    <x v="1"/>
    <s v="MOD002"/>
    <s v="Zapatillas Urbanas"/>
    <x v="3"/>
    <x v="3"/>
    <s v="Rosa Mendoza"/>
    <n v="1"/>
    <n v="210"/>
    <n v="0.05"/>
    <n v="199.5"/>
    <x v="2"/>
  </r>
  <r>
    <s v="ventas_huancayo_feb.xlsx"/>
    <x v="41"/>
    <x v="1"/>
    <s v="MOD003"/>
    <s v="Polo Básico"/>
    <x v="3"/>
    <x v="2"/>
    <s v="Jorge Castillo"/>
    <n v="5"/>
    <n v="55"/>
    <n v="0.05"/>
    <n v="261.25"/>
    <x v="0"/>
  </r>
  <r>
    <s v="ventas_huancayo_feb.xlsx"/>
    <x v="51"/>
    <x v="1"/>
    <s v="BEL001"/>
    <s v="Perfume Floral"/>
    <x v="0"/>
    <x v="3"/>
    <s v="Elena Vera"/>
    <n v="3"/>
    <n v="170"/>
    <n v="0.1"/>
    <n v="459"/>
    <x v="3"/>
  </r>
  <r>
    <s v="ventas_huancayo_feb.xlsx"/>
    <x v="38"/>
    <x v="1"/>
    <s v="TEC001"/>
    <s v="Laptop Lenovo"/>
    <x v="1"/>
    <x v="3"/>
    <s v="Alessandra Peña"/>
    <n v="3"/>
    <n v="2800"/>
    <n v="0"/>
    <n v="8400"/>
    <x v="0"/>
  </r>
  <r>
    <s v="ventas_huancayo_feb.xlsx"/>
    <x v="51"/>
    <x v="1"/>
    <s v="DEP001"/>
    <s v="Mancuernas 5kg"/>
    <x v="4"/>
    <x v="3"/>
    <s v="Cliente no registrado"/>
    <n v="1"/>
    <n v="140"/>
    <n v="0.05"/>
    <n v="133"/>
    <x v="0"/>
  </r>
  <r>
    <s v="ventas_huancayo_feb.xlsx"/>
    <x v="31"/>
    <x v="1"/>
    <s v="HOG002"/>
    <s v="Juego de Sábanas"/>
    <x v="2"/>
    <x v="2"/>
    <s v="Renato Flores"/>
    <n v="4"/>
    <n v="120"/>
    <n v="0.1"/>
    <n v="432"/>
    <x v="2"/>
  </r>
  <r>
    <s v="ventas_huancayo_feb.xlsx"/>
    <x v="44"/>
    <x v="1"/>
    <s v="HOG002"/>
    <s v="Juego de Sábanas"/>
    <x v="2"/>
    <x v="3"/>
    <s v="Marco Espinoza"/>
    <n v="4"/>
    <n v="120"/>
    <n v="0.05"/>
    <n v="456"/>
    <x v="1"/>
  </r>
  <r>
    <s v="ventas_huancayo_feb.xlsx"/>
    <x v="36"/>
    <x v="1"/>
    <s v="TEC003"/>
    <s v="Audífonos JBL"/>
    <x v="1"/>
    <x v="3"/>
    <s v="Javier Núñez"/>
    <n v="2"/>
    <n v="220"/>
    <n v="0.1"/>
    <n v="396"/>
    <x v="0"/>
  </r>
  <r>
    <s v="ventas_huancayo_feb.xlsx"/>
    <x v="33"/>
    <x v="1"/>
    <s v="BEL001"/>
    <s v="Perfume Floral"/>
    <x v="0"/>
    <x v="3"/>
    <s v="Camila Paredes"/>
    <n v="5"/>
    <n v="170"/>
    <n v="0.05"/>
    <n v="807.5"/>
    <x v="2"/>
  </r>
  <r>
    <s v="ventas_huancayo_feb.xlsx"/>
    <x v="88"/>
    <x v="1"/>
    <s v="DEP003"/>
    <s v="Tomatodo Deportivo"/>
    <x v="4"/>
    <x v="2"/>
    <s v="Mónica Palomino"/>
    <n v="5"/>
    <n v="35"/>
    <n v="0.1"/>
    <n v="157.5"/>
    <x v="2"/>
  </r>
  <r>
    <s v="ventas_huancayo_feb.xlsx"/>
    <x v="50"/>
    <x v="1"/>
    <s v="BEL001"/>
    <s v="Perfume Floral"/>
    <x v="0"/>
    <x v="3"/>
    <s v="Diana Salas"/>
    <n v="2"/>
    <n v="170"/>
    <n v="0"/>
    <n v="340"/>
    <x v="0"/>
  </r>
  <r>
    <s v="ventas_huancayo_feb.xlsx"/>
    <x v="41"/>
    <x v="1"/>
    <s v="BEL001"/>
    <s v="Perfume Floral"/>
    <x v="0"/>
    <x v="2"/>
    <s v="Iván Soto"/>
    <n v="5"/>
    <n v="170"/>
    <n v="0"/>
    <n v="850"/>
    <x v="3"/>
  </r>
  <r>
    <s v="ventas_huancayo_feb.xlsx"/>
    <x v="42"/>
    <x v="1"/>
    <s v="TEC003"/>
    <s v="Audífonos JBL"/>
    <x v="1"/>
    <x v="3"/>
    <s v="Alessandra Peña"/>
    <n v="4"/>
    <n v="220"/>
    <n v="0.05"/>
    <n v="836"/>
    <x v="0"/>
  </r>
  <r>
    <s v="ventas_huancayo_feb.xlsx"/>
    <x v="34"/>
    <x v="1"/>
    <s v="DEP002"/>
    <s v="Mat de Yoga"/>
    <x v="4"/>
    <x v="2"/>
    <s v="Elena Vera"/>
    <n v="1"/>
    <n v="85"/>
    <n v="0"/>
    <n v="85"/>
    <x v="2"/>
  </r>
  <r>
    <s v="ventas_huancayo_feb.xlsx"/>
    <x v="51"/>
    <x v="1"/>
    <s v="BEL001"/>
    <s v="Perfume Floral"/>
    <x v="0"/>
    <x v="3"/>
    <s v="Javier Núñez"/>
    <n v="2"/>
    <n v="170"/>
    <n v="0.05"/>
    <n v="323"/>
    <x v="1"/>
  </r>
  <r>
    <s v="ventas_huancayo_feb.xlsx"/>
    <x v="38"/>
    <x v="1"/>
    <s v="MOD001"/>
    <s v="Casaca Denim"/>
    <x v="3"/>
    <x v="2"/>
    <s v="Marco Espinoza"/>
    <n v="2"/>
    <n v="160"/>
    <n v="0.05"/>
    <n v="304"/>
    <x v="0"/>
  </r>
  <r>
    <s v="ventas_huancayo_feb.xlsx"/>
    <x v="34"/>
    <x v="1"/>
    <s v="DEP002"/>
    <s v="Mat de Yoga"/>
    <x v="4"/>
    <x v="3"/>
    <s v="Lucía Pérez"/>
    <n v="3"/>
    <n v="85"/>
    <n v="0"/>
    <n v="255"/>
    <x v="3"/>
  </r>
  <r>
    <s v="ventas_huancayo_feb.xlsx"/>
    <x v="34"/>
    <x v="1"/>
    <s v="HOG002"/>
    <s v="Juego de Sábanas"/>
    <x v="2"/>
    <x v="2"/>
    <s v="Cliente no registrado"/>
    <n v="5"/>
    <n v="120"/>
    <n v="0.1"/>
    <n v="540"/>
    <x v="0"/>
  </r>
  <r>
    <s v="ventas_huancayo_feb.xlsx"/>
    <x v="49"/>
    <x v="1"/>
    <s v="MOD003"/>
    <s v="Polo Básico"/>
    <x v="3"/>
    <x v="2"/>
    <s v="Sofía Navarro"/>
    <n v="5"/>
    <n v="55"/>
    <n v="0.05"/>
    <n v="261.25"/>
    <x v="0"/>
  </r>
  <r>
    <s v="ventas_huancayo_feb.xlsx"/>
    <x v="46"/>
    <x v="1"/>
    <s v="DEP001"/>
    <s v="Mancuernas 5kg"/>
    <x v="4"/>
    <x v="3"/>
    <s v="Gabriela Núñez"/>
    <n v="3"/>
    <n v="140"/>
    <n v="0"/>
    <n v="420"/>
    <x v="2"/>
  </r>
  <r>
    <s v="ventas_huancayo_feb.xlsx"/>
    <x v="44"/>
    <x v="1"/>
    <s v="BEL002"/>
    <s v="Crema Facial"/>
    <x v="0"/>
    <x v="2"/>
    <s v="Daniela Rivas"/>
    <n v="5"/>
    <n v="60"/>
    <n v="0"/>
    <n v="300"/>
    <x v="3"/>
  </r>
  <r>
    <s v="ventas_huancayo_feb.xlsx"/>
    <x v="34"/>
    <x v="1"/>
    <s v="BEL003"/>
    <s v="Shampoo Nutritivo"/>
    <x v="0"/>
    <x v="3"/>
    <s v="Elena Vera"/>
    <n v="3"/>
    <n v="45"/>
    <n v="0.1"/>
    <n v="121.5"/>
    <x v="2"/>
  </r>
  <r>
    <s v="ventas_huancayo_feb.xlsx"/>
    <x v="47"/>
    <x v="1"/>
    <s v="HOG002"/>
    <s v="Juego de Sábanas"/>
    <x v="2"/>
    <x v="3"/>
    <s v="César Salcedo"/>
    <n v="2"/>
    <n v="120"/>
    <n v="0.05"/>
    <n v="228"/>
    <x v="0"/>
  </r>
  <r>
    <s v="ventas_huancayo_feb.xlsx"/>
    <x v="52"/>
    <x v="1"/>
    <s v="MOD002"/>
    <s v="Zapatillas Urbanas"/>
    <x v="3"/>
    <x v="2"/>
    <s v="Iván Soto"/>
    <n v="2"/>
    <n v="210"/>
    <n v="0.1"/>
    <n v="378"/>
    <x v="2"/>
  </r>
  <r>
    <s v="ventas_huancayo_feb.xlsx"/>
    <x v="53"/>
    <x v="1"/>
    <s v="DEP002"/>
    <s v="Mat de Yoga"/>
    <x v="4"/>
    <x v="3"/>
    <s v="Renato Flores"/>
    <n v="5"/>
    <n v="85"/>
    <n v="0.05"/>
    <n v="403.75"/>
    <x v="0"/>
  </r>
  <r>
    <s v="ventas_huancayo_feb.xlsx"/>
    <x v="44"/>
    <x v="1"/>
    <s v="TEC003"/>
    <s v="Audífonos JBL"/>
    <x v="1"/>
    <x v="3"/>
    <s v="Pedro Chávez"/>
    <n v="3"/>
    <n v="220"/>
    <n v="0"/>
    <n v="660"/>
    <x v="3"/>
  </r>
  <r>
    <s v="ventas_huancayo_feb.xlsx"/>
    <x v="47"/>
    <x v="1"/>
    <s v="BEL001"/>
    <s v="Perfume Floral"/>
    <x v="0"/>
    <x v="2"/>
    <s v="Lucía Pérez"/>
    <n v="4"/>
    <n v="170"/>
    <n v="0"/>
    <n v="680"/>
    <x v="1"/>
  </r>
  <r>
    <s v="ventas_huancayo_feb.xlsx"/>
    <x v="36"/>
    <x v="1"/>
    <s v="BEL001"/>
    <s v="Perfume Floral"/>
    <x v="0"/>
    <x v="2"/>
    <s v="Rosa Mendoza"/>
    <n v="4"/>
    <n v="170"/>
    <n v="0"/>
    <n v="680"/>
    <x v="2"/>
  </r>
  <r>
    <s v="ventas_huancayo_feb.xlsx"/>
    <x v="37"/>
    <x v="1"/>
    <s v="BEL003"/>
    <s v="Shampoo Nutritivo"/>
    <x v="0"/>
    <x v="3"/>
    <s v="Javier Núñez"/>
    <n v="3"/>
    <n v="45"/>
    <n v="0"/>
    <n v="135"/>
    <x v="2"/>
  </r>
  <r>
    <s v="ventas_huancayo_feb.xlsx"/>
    <x v="53"/>
    <x v="1"/>
    <s v="DEP003"/>
    <s v="Tomatodo Deportivo"/>
    <x v="4"/>
    <x v="3"/>
    <s v="Ana Torres"/>
    <n v="4"/>
    <n v="35"/>
    <n v="0"/>
    <n v="140"/>
    <x v="3"/>
  </r>
  <r>
    <s v="ventas_huancayo_feb.xlsx"/>
    <x v="53"/>
    <x v="1"/>
    <s v="HOG001"/>
    <s v="Licuadora Oster"/>
    <x v="2"/>
    <x v="3"/>
    <s v="Karina Aguilar"/>
    <n v="2"/>
    <n v="180"/>
    <n v="0.05"/>
    <n v="342"/>
    <x v="1"/>
  </r>
  <r>
    <s v="ventas_huancayo_feb.xlsx"/>
    <x v="34"/>
    <x v="1"/>
    <s v="TEC002"/>
    <s v="Mouse Logitech"/>
    <x v="1"/>
    <x v="3"/>
    <s v="Camila Paredes"/>
    <n v="4"/>
    <n v="75"/>
    <n v="0.05"/>
    <n v="285"/>
    <x v="1"/>
  </r>
  <r>
    <s v="ventas_huancayo_feb.xlsx"/>
    <x v="88"/>
    <x v="1"/>
    <s v="TEC001"/>
    <s v="Laptop Lenovo"/>
    <x v="1"/>
    <x v="3"/>
    <s v="Gabriela Núñez"/>
    <n v="2"/>
    <n v="2800"/>
    <n v="0.05"/>
    <n v="5320"/>
    <x v="2"/>
  </r>
  <r>
    <s v="ventas_huancayo_feb.xlsx"/>
    <x v="39"/>
    <x v="1"/>
    <s v="TEC001"/>
    <s v="Laptop Lenovo"/>
    <x v="1"/>
    <x v="2"/>
    <s v="Miguel Herrera"/>
    <n v="1"/>
    <n v="2800"/>
    <n v="0.05"/>
    <n v="2660"/>
    <x v="0"/>
  </r>
  <r>
    <s v="ventas_huancayo_feb.xlsx"/>
    <x v="49"/>
    <x v="1"/>
    <s v="TEC002"/>
    <s v="Mouse Logitech"/>
    <x v="1"/>
    <x v="2"/>
    <s v="Carlos Rojas"/>
    <n v="4"/>
    <n v="75"/>
    <n v="0"/>
    <n v="300"/>
    <x v="0"/>
  </r>
  <r>
    <s v="ventas_huancayo_feb.xlsx"/>
    <x v="38"/>
    <x v="1"/>
    <s v="BEL003"/>
    <s v="Shampoo Nutritivo"/>
    <x v="0"/>
    <x v="3"/>
    <s v="César Salcedo"/>
    <n v="4"/>
    <n v="45"/>
    <n v="0.05"/>
    <n v="171"/>
    <x v="2"/>
  </r>
  <r>
    <s v="ventas_huancayo_feb.xlsx"/>
    <x v="54"/>
    <x v="1"/>
    <s v="HOG002"/>
    <s v="Juego de Sábanas"/>
    <x v="2"/>
    <x v="2"/>
    <s v="Omar Cárdenas"/>
    <n v="4"/>
    <n v="120"/>
    <n v="0"/>
    <n v="480"/>
    <x v="3"/>
  </r>
  <r>
    <s v="ventas_huancayo_feb.xlsx"/>
    <x v="32"/>
    <x v="1"/>
    <s v="TEC001"/>
    <s v="Laptop Lenovo"/>
    <x v="1"/>
    <x v="2"/>
    <s v="Elena Vera"/>
    <n v="2"/>
    <n v="2800"/>
    <n v="0.05"/>
    <n v="5320"/>
    <x v="2"/>
  </r>
  <r>
    <s v="ventas_huancayo_feb.xlsx"/>
    <x v="47"/>
    <x v="1"/>
    <s v="TEC002"/>
    <s v="Mouse Logitech"/>
    <x v="1"/>
    <x v="3"/>
    <s v="Marco Espinoza"/>
    <n v="1"/>
    <n v="75"/>
    <n v="0"/>
    <n v="75"/>
    <x v="1"/>
  </r>
  <r>
    <s v="ventas_huancayo_feb.xlsx"/>
    <x v="47"/>
    <x v="1"/>
    <s v="MOD003"/>
    <s v="Polo Básico"/>
    <x v="3"/>
    <x v="2"/>
    <s v="Jorge Castillo"/>
    <n v="1"/>
    <n v="55"/>
    <n v="0.05"/>
    <n v="52.25"/>
    <x v="3"/>
  </r>
  <r>
    <s v="ventas_huancayo_feb.xlsx"/>
    <x v="43"/>
    <x v="1"/>
    <s v="MOD001"/>
    <s v="Casaca Denim"/>
    <x v="3"/>
    <x v="2"/>
    <s v="César Salcedo"/>
    <n v="1"/>
    <n v="160"/>
    <n v="0"/>
    <n v="160"/>
    <x v="1"/>
  </r>
  <r>
    <s v="ventas_huancayo_feb.xlsx"/>
    <x v="51"/>
    <x v="1"/>
    <s v="HOG002"/>
    <s v="Juego de Sábanas"/>
    <x v="2"/>
    <x v="2"/>
    <s v="Alessandra Peña"/>
    <n v="1"/>
    <n v="120"/>
    <n v="0.05"/>
    <n v="114"/>
    <x v="1"/>
  </r>
  <r>
    <s v="ventas_huancayo_feb.xlsx"/>
    <x v="41"/>
    <x v="1"/>
    <s v="MOD002"/>
    <s v="Zapatillas Urbanas"/>
    <x v="3"/>
    <x v="2"/>
    <s v="Marco Espinoza"/>
    <n v="5"/>
    <n v="210"/>
    <n v="0"/>
    <n v="1050"/>
    <x v="2"/>
  </r>
  <r>
    <s v="ventas_huancayo_feb.xlsx"/>
    <x v="42"/>
    <x v="1"/>
    <s v="DEP003"/>
    <s v="Tomatodo Deportivo"/>
    <x v="4"/>
    <x v="3"/>
    <s v="Carlos Rojas"/>
    <n v="5"/>
    <n v="35"/>
    <n v="0.15"/>
    <n v="148.75"/>
    <x v="3"/>
  </r>
  <r>
    <s v="ventas_huancayo_feb.xlsx"/>
    <x v="88"/>
    <x v="1"/>
    <s v="BEL002"/>
    <s v="Crema Facial"/>
    <x v="0"/>
    <x v="2"/>
    <s v="Omar Cárdenas"/>
    <n v="4"/>
    <n v="60"/>
    <n v="0"/>
    <n v="240"/>
    <x v="1"/>
  </r>
  <r>
    <s v="ventas_huancayo_feb.xlsx"/>
    <x v="33"/>
    <x v="1"/>
    <s v="BEL001"/>
    <s v="Perfume Floral"/>
    <x v="0"/>
    <x v="2"/>
    <s v="Jorge Castillo"/>
    <n v="4"/>
    <n v="170"/>
    <n v="0"/>
    <n v="680"/>
    <x v="0"/>
  </r>
  <r>
    <s v="ventas_huancayo_feb.xlsx"/>
    <x v="49"/>
    <x v="1"/>
    <s v="DEP001"/>
    <s v="Mancuernas 5kg"/>
    <x v="4"/>
    <x v="3"/>
    <s v="Jorge Castillo"/>
    <n v="4"/>
    <n v="140"/>
    <n v="0.15"/>
    <n v="476"/>
    <x v="2"/>
  </r>
  <r>
    <s v="ventas_huancayo_mar.xlsx"/>
    <x v="68"/>
    <x v="1"/>
    <s v="DEP001"/>
    <s v="Mancuernas 5kg"/>
    <x v="4"/>
    <x v="2"/>
    <s v="Bruno Medina"/>
    <n v="5"/>
    <n v="140"/>
    <n v="0.1"/>
    <n v="630"/>
    <x v="1"/>
  </r>
  <r>
    <s v="ventas_huancayo_mar.xlsx"/>
    <x v="69"/>
    <x v="1"/>
    <s v="TEC003"/>
    <s v="Audífonos JBL"/>
    <x v="1"/>
    <x v="3"/>
    <s v="Fernando Ruiz"/>
    <n v="2"/>
    <n v="220"/>
    <n v="0.05"/>
    <n v="418"/>
    <x v="3"/>
  </r>
  <r>
    <s v="ventas_huancayo_mar.xlsx"/>
    <x v="74"/>
    <x v="1"/>
    <s v="HOG002"/>
    <s v="Juego de Sábanas"/>
    <x v="2"/>
    <x v="2"/>
    <s v="Ana Torres"/>
    <n v="3"/>
    <n v="120"/>
    <n v="0"/>
    <n v="360"/>
    <x v="0"/>
  </r>
  <r>
    <s v="ventas_huancayo_mar.xlsx"/>
    <x v="85"/>
    <x v="1"/>
    <s v="MOD003"/>
    <s v="Polo Básico"/>
    <x v="3"/>
    <x v="2"/>
    <s v="Miguel Herrera"/>
    <n v="5"/>
    <n v="55"/>
    <n v="0"/>
    <n v="275"/>
    <x v="1"/>
  </r>
  <r>
    <s v="ventas_huancayo_mar.xlsx"/>
    <x v="58"/>
    <x v="1"/>
    <s v="DEP001"/>
    <s v="Mancuernas 5kg"/>
    <x v="4"/>
    <x v="3"/>
    <s v="Miguel Herrera"/>
    <n v="4"/>
    <n v="140"/>
    <n v="0"/>
    <n v="560"/>
    <x v="2"/>
  </r>
  <r>
    <s v="ventas_huancayo_mar.xlsx"/>
    <x v="66"/>
    <x v="1"/>
    <s v="BEL001"/>
    <s v="Perfume Floral"/>
    <x v="0"/>
    <x v="2"/>
    <s v="Fernando Ruiz"/>
    <n v="4"/>
    <n v="170"/>
    <n v="0"/>
    <n v="680"/>
    <x v="1"/>
  </r>
  <r>
    <s v="ventas_huancayo_mar.xlsx"/>
    <x v="63"/>
    <x v="1"/>
    <s v="BEL002"/>
    <s v="Crema Facial"/>
    <x v="0"/>
    <x v="2"/>
    <s v="María López"/>
    <n v="4"/>
    <n v="60"/>
    <n v="0"/>
    <n v="240"/>
    <x v="2"/>
  </r>
  <r>
    <s v="ventas_huancayo_mar.xlsx"/>
    <x v="86"/>
    <x v="1"/>
    <s v="BEL002"/>
    <s v="Crema Facial"/>
    <x v="0"/>
    <x v="3"/>
    <s v="Alessandra Peña"/>
    <n v="4"/>
    <n v="60"/>
    <n v="0.1"/>
    <n v="216"/>
    <x v="2"/>
  </r>
  <r>
    <s v="ventas_huancayo_mar.xlsx"/>
    <x v="78"/>
    <x v="1"/>
    <s v="MOD001"/>
    <s v="Casaca Denim"/>
    <x v="3"/>
    <x v="3"/>
    <s v="Camila Paredes"/>
    <n v="1"/>
    <n v="160"/>
    <n v="0.05"/>
    <n v="152"/>
    <x v="1"/>
  </r>
  <r>
    <s v="ventas_huancayo_mar.xlsx"/>
    <x v="60"/>
    <x v="1"/>
    <s v="MOD002"/>
    <s v="Zapatillas Urbanas"/>
    <x v="3"/>
    <x v="2"/>
    <s v="Renato Flores"/>
    <n v="4"/>
    <n v="210"/>
    <n v="0"/>
    <n v="840"/>
    <x v="3"/>
  </r>
  <r>
    <s v="ventas_huancayo_mar.xlsx"/>
    <x v="83"/>
    <x v="1"/>
    <s v="BEL003"/>
    <s v="Shampoo Nutritivo"/>
    <x v="0"/>
    <x v="2"/>
    <s v="Paola Arias"/>
    <n v="1"/>
    <n v="45"/>
    <n v="0.05"/>
    <n v="42.75"/>
    <x v="3"/>
  </r>
  <r>
    <s v="ventas_huancayo_mar.xlsx"/>
    <x v="75"/>
    <x v="1"/>
    <s v="BEL002"/>
    <s v="Crema Facial"/>
    <x v="0"/>
    <x v="3"/>
    <s v="Carlos Rojas"/>
    <n v="3"/>
    <n v="60"/>
    <n v="0"/>
    <n v="180"/>
    <x v="2"/>
  </r>
  <r>
    <s v="ventas_huancayo_mar.xlsx"/>
    <x v="83"/>
    <x v="1"/>
    <s v="MOD001"/>
    <s v="Casaca Denim"/>
    <x v="3"/>
    <x v="2"/>
    <s v="Elena Vera"/>
    <n v="4"/>
    <n v="160"/>
    <n v="0"/>
    <n v="640"/>
    <x v="2"/>
  </r>
  <r>
    <s v="ventas_huancayo_mar.xlsx"/>
    <x v="66"/>
    <x v="1"/>
    <s v="HOG003"/>
    <s v="Sartén Antiadherente"/>
    <x v="2"/>
    <x v="3"/>
    <s v="Fiorella Díaz"/>
    <n v="3"/>
    <n v="95"/>
    <n v="0"/>
    <n v="285"/>
    <x v="2"/>
  </r>
  <r>
    <s v="ventas_huancayo_mar.xlsx"/>
    <x v="65"/>
    <x v="1"/>
    <s v="BEL002"/>
    <s v="Crema Facial"/>
    <x v="0"/>
    <x v="2"/>
    <s v="Jorge Castillo"/>
    <n v="1"/>
    <n v="60"/>
    <n v="0"/>
    <n v="60"/>
    <x v="1"/>
  </r>
  <r>
    <s v="ventas_huancayo_mar.xlsx"/>
    <x v="71"/>
    <x v="1"/>
    <s v="TEC002"/>
    <s v="Mouse Logitech"/>
    <x v="1"/>
    <x v="3"/>
    <s v="Gabriela Núñez"/>
    <n v="4"/>
    <n v="75"/>
    <n v="0.05"/>
    <n v="285"/>
    <x v="2"/>
  </r>
  <r>
    <s v="ventas_huancayo_mar.xlsx"/>
    <x v="66"/>
    <x v="1"/>
    <s v="HOG003"/>
    <s v="Sartén Antiadherente"/>
    <x v="2"/>
    <x v="3"/>
    <s v="César Salcedo"/>
    <n v="4"/>
    <n v="95"/>
    <n v="0"/>
    <n v="380"/>
    <x v="2"/>
  </r>
  <r>
    <s v="ventas_huancayo_mar.xlsx"/>
    <x v="65"/>
    <x v="1"/>
    <s v="TEC003"/>
    <s v="Audífonos JBL"/>
    <x v="1"/>
    <x v="2"/>
    <s v="Pedro Chávez"/>
    <n v="2"/>
    <n v="220"/>
    <n v="0"/>
    <n v="440"/>
    <x v="3"/>
  </r>
  <r>
    <s v="ventas_huancayo_mar.xlsx"/>
    <x v="77"/>
    <x v="1"/>
    <s v="HOG001"/>
    <s v="Licuadora Oster"/>
    <x v="2"/>
    <x v="2"/>
    <s v="Cliente no registrado"/>
    <n v="2"/>
    <n v="180"/>
    <n v="0"/>
    <n v="360"/>
    <x v="0"/>
  </r>
  <r>
    <s v="ventas_huancayo_mar.xlsx"/>
    <x v="57"/>
    <x v="1"/>
    <s v="TEC001"/>
    <s v="Laptop Lenovo"/>
    <x v="1"/>
    <x v="2"/>
    <s v="Iván Soto"/>
    <n v="4"/>
    <n v="2800"/>
    <n v="0.1"/>
    <n v="10080"/>
    <x v="2"/>
  </r>
  <r>
    <s v="ventas_huancayo_mar.xlsx"/>
    <x v="84"/>
    <x v="1"/>
    <s v="TEC003"/>
    <s v="Audífonos JBL"/>
    <x v="1"/>
    <x v="2"/>
    <s v="Ana Torres"/>
    <n v="4"/>
    <n v="220"/>
    <n v="0"/>
    <n v="880"/>
    <x v="2"/>
  </r>
  <r>
    <s v="ventas_huancayo_mar.xlsx"/>
    <x v="57"/>
    <x v="1"/>
    <s v="BEL002"/>
    <s v="Crema Facial"/>
    <x v="0"/>
    <x v="2"/>
    <s v="Rosa Mendoza"/>
    <n v="3"/>
    <n v="60"/>
    <n v="0.05"/>
    <n v="171"/>
    <x v="1"/>
  </r>
  <r>
    <s v="ventas_huancayo_mar.xlsx"/>
    <x v="64"/>
    <x v="1"/>
    <s v="DEP001"/>
    <s v="Mancuernas 5kg"/>
    <x v="4"/>
    <x v="3"/>
    <s v="María López"/>
    <n v="1"/>
    <n v="140"/>
    <n v="0"/>
    <n v="140"/>
    <x v="1"/>
  </r>
  <r>
    <s v="ventas_huancayo_mar.xlsx"/>
    <x v="81"/>
    <x v="1"/>
    <s v="TEC002"/>
    <s v="Mouse Logitech"/>
    <x v="1"/>
    <x v="2"/>
    <s v="Bruno Medina"/>
    <n v="2"/>
    <n v="75"/>
    <n v="0"/>
    <n v="150"/>
    <x v="0"/>
  </r>
  <r>
    <s v="ventas_huancayo_mar.xlsx"/>
    <x v="68"/>
    <x v="1"/>
    <s v="BEL002"/>
    <s v="Crema Facial"/>
    <x v="0"/>
    <x v="3"/>
    <s v="Mónica Palomino"/>
    <n v="1"/>
    <n v="60"/>
    <n v="0.05"/>
    <n v="57"/>
    <x v="1"/>
  </r>
  <r>
    <s v="ventas_huancayo_mar.xlsx"/>
    <x v="86"/>
    <x v="1"/>
    <s v="DEP003"/>
    <s v="Tomatodo Deportivo"/>
    <x v="4"/>
    <x v="2"/>
    <s v="Javier Núñez"/>
    <n v="5"/>
    <n v="35"/>
    <n v="0"/>
    <n v="175"/>
    <x v="0"/>
  </r>
  <r>
    <s v="ventas_huancayo_mar.xlsx"/>
    <x v="65"/>
    <x v="1"/>
    <s v="HOG002"/>
    <s v="Juego de Sábanas"/>
    <x v="2"/>
    <x v="2"/>
    <s v="Jorge Castillo"/>
    <n v="4"/>
    <n v="120"/>
    <n v="0"/>
    <n v="480"/>
    <x v="1"/>
  </r>
  <r>
    <s v="ventas_huancayo_mar.xlsx"/>
    <x v="65"/>
    <x v="1"/>
    <s v="MOD002"/>
    <s v="Zapatillas Urbanas"/>
    <x v="3"/>
    <x v="3"/>
    <s v="Javier Núñez"/>
    <n v="5"/>
    <n v="210"/>
    <n v="0.1"/>
    <n v="945"/>
    <x v="0"/>
  </r>
  <r>
    <s v="ventas_huancayo_mar.xlsx"/>
    <x v="80"/>
    <x v="1"/>
    <s v="HOG001"/>
    <s v="Licuadora Oster"/>
    <x v="2"/>
    <x v="2"/>
    <s v="Iván Soto"/>
    <n v="5"/>
    <n v="180"/>
    <n v="0.15"/>
    <n v="765"/>
    <x v="3"/>
  </r>
  <r>
    <s v="ventas_huancayo_mar.xlsx"/>
    <x v="85"/>
    <x v="1"/>
    <s v="MOD002"/>
    <s v="Zapatillas Urbanas"/>
    <x v="3"/>
    <x v="3"/>
    <s v="Ana Torres"/>
    <n v="2"/>
    <n v="210"/>
    <n v="0.1"/>
    <n v="378"/>
    <x v="1"/>
  </r>
  <r>
    <s v="ventas_huancayo_mar.xlsx"/>
    <x v="74"/>
    <x v="1"/>
    <s v="TEC001"/>
    <s v="Laptop Lenovo"/>
    <x v="1"/>
    <x v="3"/>
    <s v="Sofía Navarro"/>
    <n v="1"/>
    <n v="2800"/>
    <n v="0.05"/>
    <n v="2660"/>
    <x v="0"/>
  </r>
  <r>
    <s v="ventas_huancayo_mar.xlsx"/>
    <x v="74"/>
    <x v="1"/>
    <s v="MOD003"/>
    <s v="Polo Básico"/>
    <x v="3"/>
    <x v="3"/>
    <s v="María López"/>
    <n v="2"/>
    <n v="55"/>
    <n v="0"/>
    <n v="110"/>
    <x v="0"/>
  </r>
  <r>
    <s v="ventas_huancayo_mar.xlsx"/>
    <x v="62"/>
    <x v="1"/>
    <s v="HOG002"/>
    <s v="Juego de Sábanas"/>
    <x v="2"/>
    <x v="2"/>
    <s v="Sofía Navarro"/>
    <n v="5"/>
    <n v="120"/>
    <n v="0"/>
    <n v="600"/>
    <x v="3"/>
  </r>
  <r>
    <s v="ventas_huancayo_mar.xlsx"/>
    <x v="78"/>
    <x v="1"/>
    <s v="DEP002"/>
    <s v="Mat de Yoga"/>
    <x v="4"/>
    <x v="2"/>
    <s v="Mónica Palomino"/>
    <n v="5"/>
    <n v="85"/>
    <n v="0.15"/>
    <n v="361.25"/>
    <x v="0"/>
  </r>
  <r>
    <s v="ventas_huancayo_mar.xlsx"/>
    <x v="67"/>
    <x v="1"/>
    <s v="BEL002"/>
    <s v="Crema Facial"/>
    <x v="0"/>
    <x v="2"/>
    <s v="Iván Soto"/>
    <n v="4"/>
    <n v="60"/>
    <n v="0.1"/>
    <n v="216"/>
    <x v="2"/>
  </r>
  <r>
    <s v="ventas_huancayo_mar.xlsx"/>
    <x v="84"/>
    <x v="1"/>
    <s v="MOD003"/>
    <s v="Polo Básico"/>
    <x v="3"/>
    <x v="3"/>
    <s v="Carlos Rojas"/>
    <n v="5"/>
    <n v="55"/>
    <n v="0.1"/>
    <n v="247.5"/>
    <x v="0"/>
  </r>
  <r>
    <s v="ventas_huancayo_mar.xlsx"/>
    <x v="62"/>
    <x v="1"/>
    <s v="MOD003"/>
    <s v="Polo Básico"/>
    <x v="3"/>
    <x v="2"/>
    <s v="Sofía Navarro"/>
    <n v="3"/>
    <n v="55"/>
    <n v="0.05"/>
    <n v="156.75"/>
    <x v="0"/>
  </r>
  <r>
    <s v="ventas_huancayo_mar.xlsx"/>
    <x v="62"/>
    <x v="1"/>
    <s v="TEC001"/>
    <s v="Laptop Lenovo"/>
    <x v="1"/>
    <x v="3"/>
    <s v="Daniela Rivas"/>
    <n v="2"/>
    <n v="2800"/>
    <n v="0"/>
    <n v="5600"/>
    <x v="2"/>
  </r>
  <r>
    <s v="ventas_huancayo_mar.xlsx"/>
    <x v="70"/>
    <x v="1"/>
    <s v="MOD003"/>
    <s v="Polo Básico"/>
    <x v="3"/>
    <x v="3"/>
    <s v="Sofía Navarro"/>
    <n v="4"/>
    <n v="55"/>
    <n v="0"/>
    <n v="220"/>
    <x v="1"/>
  </r>
  <r>
    <s v="ventas_huancayo_mar.xlsx"/>
    <x v="85"/>
    <x v="1"/>
    <s v="HOG001"/>
    <s v="Licuadora Oster"/>
    <x v="2"/>
    <x v="3"/>
    <s v="Pedro Chávez"/>
    <n v="1"/>
    <n v="180"/>
    <n v="0"/>
    <n v="180"/>
    <x v="2"/>
  </r>
  <r>
    <s v="ventas_huancayo_mar.xlsx"/>
    <x v="67"/>
    <x v="1"/>
    <s v="MOD002"/>
    <s v="Zapatillas Urbanas"/>
    <x v="3"/>
    <x v="2"/>
    <s v="Omar Cárdenas"/>
    <n v="2"/>
    <n v="210"/>
    <n v="0"/>
    <n v="420"/>
    <x v="1"/>
  </r>
  <r>
    <s v="ventas_huancayo_mar.xlsx"/>
    <x v="60"/>
    <x v="1"/>
    <s v="MOD001"/>
    <s v="Casaca Denim"/>
    <x v="3"/>
    <x v="2"/>
    <s v="Omar Cárdenas"/>
    <n v="1"/>
    <n v="160"/>
    <n v="0.05"/>
    <n v="152"/>
    <x v="3"/>
  </r>
  <r>
    <s v="ventas_huancayo_mar.xlsx"/>
    <x v="68"/>
    <x v="1"/>
    <s v="DEP002"/>
    <s v="Mat de Yoga"/>
    <x v="4"/>
    <x v="2"/>
    <s v="Jorge Castillo"/>
    <n v="5"/>
    <n v="85"/>
    <n v="0"/>
    <n v="425"/>
    <x v="2"/>
  </r>
  <r>
    <s v="ventas_huancayo_mar.xlsx"/>
    <x v="65"/>
    <x v="1"/>
    <s v="TEC003"/>
    <s v="Audífonos JBL"/>
    <x v="1"/>
    <x v="2"/>
    <s v="Cliente no registrado"/>
    <n v="1"/>
    <n v="220"/>
    <n v="0"/>
    <n v="220"/>
    <x v="1"/>
  </r>
  <r>
    <s v="ventas_huancayo_mar.xlsx"/>
    <x v="68"/>
    <x v="1"/>
    <s v="DEP001"/>
    <s v="Mancuernas 5kg"/>
    <x v="4"/>
    <x v="3"/>
    <s v="Jorge Castillo"/>
    <n v="5"/>
    <n v="140"/>
    <n v="0.1"/>
    <n v="630"/>
    <x v="0"/>
  </r>
  <r>
    <s v="ventas_huancayo_mar.xlsx"/>
    <x v="74"/>
    <x v="1"/>
    <s v="TEC001"/>
    <s v="Laptop Lenovo"/>
    <x v="1"/>
    <x v="3"/>
    <s v="Pedro Chávez"/>
    <n v="3"/>
    <n v="2800"/>
    <n v="0.05"/>
    <n v="7980"/>
    <x v="0"/>
  </r>
  <r>
    <s v="ventas_huancayo_mar.xlsx"/>
    <x v="72"/>
    <x v="1"/>
    <s v="MOD002"/>
    <s v="Zapatillas Urbanas"/>
    <x v="3"/>
    <x v="2"/>
    <s v="Jorge Castillo"/>
    <n v="4"/>
    <n v="210"/>
    <n v="0.05"/>
    <n v="798"/>
    <x v="1"/>
  </r>
  <r>
    <s v="ventas_huancayo_mar.xlsx"/>
    <x v="74"/>
    <x v="1"/>
    <s v="BEL003"/>
    <s v="Shampoo Nutritivo"/>
    <x v="0"/>
    <x v="3"/>
    <s v="Diana Salas"/>
    <n v="5"/>
    <n v="45"/>
    <n v="0"/>
    <n v="225"/>
    <x v="2"/>
  </r>
  <r>
    <s v="ventas_huancayo_mar.xlsx"/>
    <x v="66"/>
    <x v="1"/>
    <s v="BEL003"/>
    <s v="Shampoo Nutritivo"/>
    <x v="0"/>
    <x v="2"/>
    <s v="Alessandra Peña"/>
    <n v="3"/>
    <n v="45"/>
    <n v="0.05"/>
    <n v="128.25"/>
    <x v="0"/>
  </r>
  <r>
    <s v="ventas_huancayo_mar.xlsx"/>
    <x v="86"/>
    <x v="1"/>
    <s v="MOD002"/>
    <s v="Zapatillas Urbanas"/>
    <x v="3"/>
    <x v="2"/>
    <s v="Carlos Rojas"/>
    <n v="1"/>
    <n v="210"/>
    <n v="0"/>
    <n v="210"/>
    <x v="1"/>
  </r>
  <r>
    <s v="ventas_huancayo_mar.xlsx"/>
    <x v="60"/>
    <x v="1"/>
    <s v="MOD001"/>
    <s v="Casaca Denim"/>
    <x v="3"/>
    <x v="3"/>
    <s v="Pedro Chávez"/>
    <n v="2"/>
    <n v="160"/>
    <n v="0.05"/>
    <n v="304"/>
    <x v="0"/>
  </r>
  <r>
    <s v="ventas_huancayo_mar.xlsx"/>
    <x v="79"/>
    <x v="1"/>
    <s v="BEL001"/>
    <s v="Perfume Floral"/>
    <x v="0"/>
    <x v="3"/>
    <s v="María López"/>
    <n v="5"/>
    <n v="170"/>
    <n v="0"/>
    <n v="850"/>
    <x v="3"/>
  </r>
  <r>
    <s v="ventas_huancayo_mar.xlsx"/>
    <x v="65"/>
    <x v="1"/>
    <s v="TEC002"/>
    <s v="Mouse Logitech"/>
    <x v="1"/>
    <x v="3"/>
    <s v="Renato Flores"/>
    <n v="3"/>
    <n v="75"/>
    <n v="0.05"/>
    <n v="213.75"/>
    <x v="2"/>
  </r>
  <r>
    <s v="ventas_huancayo_mar.xlsx"/>
    <x v="80"/>
    <x v="1"/>
    <s v="BEL001"/>
    <s v="Perfume Floral"/>
    <x v="0"/>
    <x v="3"/>
    <s v="Omar Cárdenas"/>
    <n v="5"/>
    <n v="170"/>
    <n v="0"/>
    <n v="850"/>
    <x v="0"/>
  </r>
  <r>
    <s v="ventas_huancayo_mar.xlsx"/>
    <x v="62"/>
    <x v="1"/>
    <s v="DEP003"/>
    <s v="Tomatodo Deportivo"/>
    <x v="4"/>
    <x v="2"/>
    <s v="Miguel Herrera"/>
    <n v="3"/>
    <n v="35"/>
    <n v="0"/>
    <n v="105"/>
    <x v="3"/>
  </r>
  <r>
    <s v="ventas_huancayo_mar.xlsx"/>
    <x v="80"/>
    <x v="1"/>
    <s v="MOD001"/>
    <s v="Casaca Denim"/>
    <x v="3"/>
    <x v="2"/>
    <s v="Camila Paredes"/>
    <n v="2"/>
    <n v="160"/>
    <n v="0"/>
    <n v="320"/>
    <x v="1"/>
  </r>
  <r>
    <s v="ventas_huancayo_mar.xlsx"/>
    <x v="57"/>
    <x v="1"/>
    <s v="HOG002"/>
    <s v="Juego de Sábanas"/>
    <x v="2"/>
    <x v="3"/>
    <s v="Fernando Ruiz"/>
    <n v="1"/>
    <n v="120"/>
    <n v="0.05"/>
    <n v="114"/>
    <x v="2"/>
  </r>
  <r>
    <s v="ventas_huancayo_mar.xlsx"/>
    <x v="86"/>
    <x v="1"/>
    <s v="MOD003"/>
    <s v="Polo Básico"/>
    <x v="3"/>
    <x v="3"/>
    <s v="Lucía Pérez"/>
    <n v="5"/>
    <n v="55"/>
    <n v="0"/>
    <n v="275"/>
    <x v="3"/>
  </r>
  <r>
    <s v="ventas_huancayo_mar.xlsx"/>
    <x v="68"/>
    <x v="1"/>
    <s v="DEP003"/>
    <s v="Tomatodo Deportivo"/>
    <x v="4"/>
    <x v="2"/>
    <s v="César Salcedo"/>
    <n v="4"/>
    <n v="35"/>
    <n v="0.05"/>
    <n v="133"/>
    <x v="1"/>
  </r>
  <r>
    <s v="ventas_huancayo_mar.xlsx"/>
    <x v="70"/>
    <x v="1"/>
    <s v="DEP002"/>
    <s v="Mat de Yoga"/>
    <x v="4"/>
    <x v="3"/>
    <s v="Jorge Castillo"/>
    <n v="5"/>
    <n v="85"/>
    <n v="0.1"/>
    <n v="382.5"/>
    <x v="3"/>
  </r>
  <r>
    <s v="ventas_huancayo_mar.xlsx"/>
    <x v="70"/>
    <x v="1"/>
    <s v="TEC003"/>
    <s v="Audífonos JBL"/>
    <x v="1"/>
    <x v="3"/>
    <s v="Daniela Rivas"/>
    <n v="4"/>
    <n v="220"/>
    <n v="0"/>
    <n v="880"/>
    <x v="1"/>
  </r>
  <r>
    <s v="ventas_huancayo_mar.xlsx"/>
    <x v="60"/>
    <x v="1"/>
    <s v="TEC002"/>
    <s v="Mouse Logitech"/>
    <x v="1"/>
    <x v="2"/>
    <s v="César Salcedo"/>
    <n v="2"/>
    <n v="75"/>
    <n v="0.1"/>
    <n v="135"/>
    <x v="2"/>
  </r>
  <r>
    <s v="ventas_huancayo_mar.xlsx"/>
    <x v="76"/>
    <x v="1"/>
    <s v="MOD001"/>
    <s v="Casaca Denim"/>
    <x v="3"/>
    <x v="3"/>
    <s v="César Salcedo"/>
    <n v="3"/>
    <n v="160"/>
    <n v="0"/>
    <n v="480"/>
    <x v="0"/>
  </r>
  <r>
    <s v="ventas_huancayo_mar.xlsx"/>
    <x v="79"/>
    <x v="1"/>
    <s v="HOG002"/>
    <s v="Juego de Sábanas"/>
    <x v="2"/>
    <x v="3"/>
    <s v="Omar Cárdenas"/>
    <n v="3"/>
    <n v="120"/>
    <n v="0.1"/>
    <n v="324"/>
    <x v="0"/>
  </r>
  <r>
    <s v="ventas_huancayo_mar.xlsx"/>
    <x v="83"/>
    <x v="1"/>
    <s v="BEL003"/>
    <s v="Shampoo Nutritivo"/>
    <x v="0"/>
    <x v="3"/>
    <s v="Javier Núñez"/>
    <n v="5"/>
    <n v="45"/>
    <n v="0"/>
    <n v="225"/>
    <x v="0"/>
  </r>
  <r>
    <s v="ventas_huancayo_mar.xlsx"/>
    <x v="62"/>
    <x v="1"/>
    <s v="TEC001"/>
    <s v="Laptop Lenovo"/>
    <x v="1"/>
    <x v="3"/>
    <s v="Pedro Chávez"/>
    <n v="5"/>
    <n v="2800"/>
    <n v="0.15"/>
    <n v="11900"/>
    <x v="1"/>
  </r>
  <r>
    <s v="ventas_huancayo_mar.xlsx"/>
    <x v="68"/>
    <x v="1"/>
    <s v="HOG001"/>
    <s v="Licuadora Oster"/>
    <x v="2"/>
    <x v="3"/>
    <s v="Fernando Ruiz"/>
    <n v="5"/>
    <n v="180"/>
    <n v="0"/>
    <n v="900"/>
    <x v="2"/>
  </r>
  <r>
    <s v="ventas_huancayo_mar.xlsx"/>
    <x v="57"/>
    <x v="1"/>
    <s v="DEP001"/>
    <s v="Mancuernas 5kg"/>
    <x v="4"/>
    <x v="3"/>
    <s v="Miguel Herrera"/>
    <n v="4"/>
    <n v="140"/>
    <n v="0"/>
    <n v="560"/>
    <x v="3"/>
  </r>
  <r>
    <s v="ventas_huancayo_mar.xlsx"/>
    <x v="71"/>
    <x v="1"/>
    <s v="TEC002"/>
    <s v="Mouse Logitech"/>
    <x v="1"/>
    <x v="2"/>
    <s v="Alessandra Peña"/>
    <n v="2"/>
    <n v="75"/>
    <n v="0"/>
    <n v="150"/>
    <x v="3"/>
  </r>
  <r>
    <s v="ventas_huancayo_mar.xlsx"/>
    <x v="82"/>
    <x v="1"/>
    <s v="DEP001"/>
    <s v="Mancuernas 5kg"/>
    <x v="4"/>
    <x v="3"/>
    <s v="Alessandra Peña"/>
    <n v="2"/>
    <n v="140"/>
    <n v="0"/>
    <n v="280"/>
    <x v="3"/>
  </r>
  <r>
    <s v="ventas_huancayo_mar.xlsx"/>
    <x v="57"/>
    <x v="1"/>
    <s v="MOD003"/>
    <s v="Polo Básico"/>
    <x v="3"/>
    <x v="3"/>
    <s v="Renato Flores"/>
    <n v="4"/>
    <n v="55"/>
    <n v="0"/>
    <n v="220"/>
    <x v="2"/>
  </r>
  <r>
    <s v="ventas_huancayo_mar.xlsx"/>
    <x v="58"/>
    <x v="1"/>
    <s v="MOD001"/>
    <s v="Casaca Denim"/>
    <x v="3"/>
    <x v="2"/>
    <s v="Diana Salas"/>
    <n v="1"/>
    <n v="160"/>
    <n v="0.05"/>
    <n v="152"/>
    <x v="3"/>
  </r>
  <r>
    <s v="ventas_huancayo_mar.xlsx"/>
    <x v="64"/>
    <x v="1"/>
    <s v="BEL002"/>
    <s v="Crema Facial"/>
    <x v="0"/>
    <x v="3"/>
    <s v="Jorge Castillo"/>
    <n v="5"/>
    <n v="60"/>
    <n v="0"/>
    <n v="300"/>
    <x v="3"/>
  </r>
  <r>
    <s v="ventas_huancayo_mar.xlsx"/>
    <x v="89"/>
    <x v="1"/>
    <s v="BEL003"/>
    <s v="Shampoo Nutritivo"/>
    <x v="0"/>
    <x v="3"/>
    <s v="María López"/>
    <n v="1"/>
    <n v="45"/>
    <n v="0"/>
    <n v="45"/>
    <x v="1"/>
  </r>
  <r>
    <s v="ventas_huancayo_mar.xlsx"/>
    <x v="57"/>
    <x v="1"/>
    <s v="HOG001"/>
    <s v="Licuadora Oster"/>
    <x v="2"/>
    <x v="3"/>
    <s v="Alessandra Peña"/>
    <n v="1"/>
    <n v="180"/>
    <n v="0.05"/>
    <n v="171"/>
    <x v="0"/>
  </r>
  <r>
    <s v="ventas_huancayo_mar.xlsx"/>
    <x v="83"/>
    <x v="1"/>
    <s v="MOD002"/>
    <s v="Zapatillas Urbanas"/>
    <x v="3"/>
    <x v="3"/>
    <s v="Sofía Navarro"/>
    <n v="1"/>
    <n v="210"/>
    <n v="0"/>
    <n v="210"/>
    <x v="3"/>
  </r>
  <r>
    <s v="ventas_huancayo_mar.xlsx"/>
    <x v="64"/>
    <x v="1"/>
    <s v="HOG003"/>
    <s v="Sartén Antiadherente"/>
    <x v="2"/>
    <x v="3"/>
    <s v="Elena Vera"/>
    <n v="3"/>
    <n v="95"/>
    <n v="0"/>
    <n v="285"/>
    <x v="0"/>
  </r>
  <r>
    <s v="ventas_huancayo_mar.xlsx"/>
    <x v="76"/>
    <x v="1"/>
    <s v="TEC001"/>
    <s v="Laptop Lenovo"/>
    <x v="1"/>
    <x v="2"/>
    <s v="Pedro Chávez"/>
    <n v="4"/>
    <n v="2800"/>
    <n v="0.05"/>
    <n v="10640"/>
    <x v="1"/>
  </r>
  <r>
    <s v="ventas_huancayo_mar.xlsx"/>
    <x v="71"/>
    <x v="1"/>
    <s v="HOG001"/>
    <s v="Licuadora Oster"/>
    <x v="2"/>
    <x v="3"/>
    <s v="Marco Espinoza"/>
    <n v="1"/>
    <n v="180"/>
    <n v="0"/>
    <n v="180"/>
    <x v="0"/>
  </r>
  <r>
    <s v="ventas_huancayo_mar.xlsx"/>
    <x v="70"/>
    <x v="1"/>
    <s v="HOG001"/>
    <s v="Licuadora Oster"/>
    <x v="2"/>
    <x v="2"/>
    <s v="Bruno Medina"/>
    <n v="3"/>
    <n v="180"/>
    <n v="0"/>
    <n v="540"/>
    <x v="2"/>
  </r>
  <r>
    <s v="ventas_huancayo_mar.xlsx"/>
    <x v="72"/>
    <x v="1"/>
    <s v="DEP001"/>
    <s v="Mancuernas 5kg"/>
    <x v="4"/>
    <x v="2"/>
    <s v="Andrés Romero"/>
    <n v="3"/>
    <n v="140"/>
    <n v="0.1"/>
    <n v="378"/>
    <x v="1"/>
  </r>
  <r>
    <s v="ventas_huancayo_mar.xlsx"/>
    <x v="73"/>
    <x v="1"/>
    <s v="HOG002"/>
    <s v="Juego de Sábanas"/>
    <x v="2"/>
    <x v="2"/>
    <s v="Karina Aguilar"/>
    <n v="1"/>
    <n v="120"/>
    <n v="0.15"/>
    <n v="102"/>
    <x v="3"/>
  </r>
  <r>
    <s v="ventas_huancayo_mar.xlsx"/>
    <x v="89"/>
    <x v="1"/>
    <s v="DEP003"/>
    <s v="Tomatodo Deportivo"/>
    <x v="4"/>
    <x v="2"/>
    <s v="Bruno Medina"/>
    <n v="2"/>
    <n v="35"/>
    <n v="0.05"/>
    <n v="66.5"/>
    <x v="0"/>
  </r>
  <r>
    <s v="ventas_huancayo_mar.xlsx"/>
    <x v="70"/>
    <x v="1"/>
    <s v="TEC001"/>
    <s v="Laptop Lenovo"/>
    <x v="1"/>
    <x v="2"/>
    <s v="Camila Paredes"/>
    <n v="3"/>
    <n v="2800"/>
    <n v="0.05"/>
    <n v="7980"/>
    <x v="3"/>
  </r>
  <r>
    <s v="ventas_huancayo_mar.xlsx"/>
    <x v="63"/>
    <x v="1"/>
    <s v="HOG002"/>
    <s v="Juego de Sábanas"/>
    <x v="2"/>
    <x v="3"/>
    <s v="Rosa Mendoza"/>
    <n v="5"/>
    <n v="120"/>
    <n v="0"/>
    <n v="600"/>
    <x v="3"/>
  </r>
  <r>
    <s v="ventas_huancayo_mar.xlsx"/>
    <x v="68"/>
    <x v="1"/>
    <s v="TEC001"/>
    <s v="Laptop Lenovo"/>
    <x v="1"/>
    <x v="2"/>
    <s v="Julio Campos"/>
    <n v="4"/>
    <n v="2800"/>
    <n v="0"/>
    <n v="11200"/>
    <x v="0"/>
  </r>
  <r>
    <s v="ventas_huancayo_mar.xlsx"/>
    <x v="82"/>
    <x v="1"/>
    <s v="BEL003"/>
    <s v="Shampoo Nutritivo"/>
    <x v="0"/>
    <x v="3"/>
    <s v="Diana Salas"/>
    <n v="4"/>
    <n v="45"/>
    <n v="0.05"/>
    <n v="171"/>
    <x v="1"/>
  </r>
  <r>
    <s v="ventas_huancayo_mar.xlsx"/>
    <x v="69"/>
    <x v="1"/>
    <s v="HOG001"/>
    <s v="Licuadora Oster"/>
    <x v="2"/>
    <x v="2"/>
    <s v="Elena Vera"/>
    <n v="5"/>
    <n v="180"/>
    <n v="0"/>
    <n v="900"/>
    <x v="2"/>
  </r>
  <r>
    <s v="ventas_huancayo_mar.xlsx"/>
    <x v="62"/>
    <x v="1"/>
    <s v="MOD002"/>
    <s v="Zapatillas Urbanas"/>
    <x v="3"/>
    <x v="2"/>
    <s v="Ana Torres"/>
    <n v="2"/>
    <n v="210"/>
    <n v="0"/>
    <n v="420"/>
    <x v="3"/>
  </r>
  <r>
    <s v="ventas_huancayo_mar.xlsx"/>
    <x v="80"/>
    <x v="1"/>
    <s v="TEC002"/>
    <s v="Mouse Logitech"/>
    <x v="1"/>
    <x v="2"/>
    <s v="Diana Salas"/>
    <n v="1"/>
    <n v="75"/>
    <n v="0.05"/>
    <n v="71.25"/>
    <x v="2"/>
  </r>
  <r>
    <s v="ventas_huancayo_mar.xlsx"/>
    <x v="59"/>
    <x v="1"/>
    <s v="TEC001"/>
    <s v="Laptop Lenovo"/>
    <x v="1"/>
    <x v="2"/>
    <s v="Daniela Rivas"/>
    <n v="5"/>
    <n v="2800"/>
    <n v="0"/>
    <n v="14000"/>
    <x v="1"/>
  </r>
  <r>
    <s v="ventas_huancayo_mar.xlsx"/>
    <x v="73"/>
    <x v="1"/>
    <s v="DEP002"/>
    <s v="Mat de Yoga"/>
    <x v="4"/>
    <x v="2"/>
    <s v="Karina Aguilar"/>
    <n v="1"/>
    <n v="85"/>
    <n v="0"/>
    <n v="85"/>
    <x v="2"/>
  </r>
  <r>
    <s v="ventas_huancayo_mar.xlsx"/>
    <x v="84"/>
    <x v="1"/>
    <s v="BEL002"/>
    <s v="Crema Facial"/>
    <x v="0"/>
    <x v="2"/>
    <s v="Omar Cárdenas"/>
    <n v="2"/>
    <n v="60"/>
    <n v="0"/>
    <n v="120"/>
    <x v="0"/>
  </r>
  <r>
    <s v="ventas_huancayo_mar.xlsx"/>
    <x v="69"/>
    <x v="1"/>
    <s v="DEP003"/>
    <s v="Tomatodo Deportivo"/>
    <x v="4"/>
    <x v="2"/>
    <s v="Carlos Rojas"/>
    <n v="3"/>
    <n v="35"/>
    <n v="0"/>
    <n v="105"/>
    <x v="3"/>
  </r>
  <r>
    <s v="ventas_huancayo_mar.xlsx"/>
    <x v="78"/>
    <x v="1"/>
    <s v="HOG003"/>
    <s v="Sartén Antiadherente"/>
    <x v="2"/>
    <x v="3"/>
    <s v="María López"/>
    <n v="1"/>
    <n v="95"/>
    <n v="0"/>
    <n v="95"/>
    <x v="3"/>
  </r>
  <r>
    <s v="ventas_huancayo_mar.xlsx"/>
    <x v="66"/>
    <x v="1"/>
    <s v="BEL003"/>
    <s v="Shampoo Nutritivo"/>
    <x v="0"/>
    <x v="3"/>
    <s v="Julio Campos"/>
    <n v="2"/>
    <n v="45"/>
    <n v="0.05"/>
    <n v="85.5"/>
    <x v="3"/>
  </r>
  <r>
    <s v="ventas_huancayo_mar.xlsx"/>
    <x v="65"/>
    <x v="1"/>
    <s v="TEC003"/>
    <s v="Audífonos JBL"/>
    <x v="1"/>
    <x v="3"/>
    <s v="María López"/>
    <n v="1"/>
    <n v="220"/>
    <n v="0.1"/>
    <n v="198"/>
    <x v="1"/>
  </r>
  <r>
    <s v="ventas_huancayo_mar.xlsx"/>
    <x v="62"/>
    <x v="1"/>
    <s v="MOD003"/>
    <s v="Polo Básico"/>
    <x v="3"/>
    <x v="3"/>
    <s v="Daniela Rivas"/>
    <n v="3"/>
    <n v="55"/>
    <n v="0.05"/>
    <n v="156.75"/>
    <x v="1"/>
  </r>
  <r>
    <s v="ventas_huancayo_mar.xlsx"/>
    <x v="65"/>
    <x v="1"/>
    <s v="BEL002"/>
    <s v="Crema Facial"/>
    <x v="0"/>
    <x v="3"/>
    <s v="Elena Vera"/>
    <n v="4"/>
    <n v="60"/>
    <n v="0"/>
    <n v="240"/>
    <x v="1"/>
  </r>
  <r>
    <s v="ventas_huancayo_mar.xlsx"/>
    <x v="61"/>
    <x v="1"/>
    <s v="MOD002"/>
    <s v="Zapatillas Urbanas"/>
    <x v="3"/>
    <x v="2"/>
    <s v="Ana Torres"/>
    <n v="4"/>
    <n v="210"/>
    <n v="0"/>
    <n v="840"/>
    <x v="3"/>
  </r>
  <r>
    <s v="ventas_lima_ene.xlsx"/>
    <x v="22"/>
    <x v="2"/>
    <s v="DEP001"/>
    <s v="Mancuernas 5kg"/>
    <x v="4"/>
    <x v="4"/>
    <s v="Jorge Castillo"/>
    <n v="1"/>
    <n v="140"/>
    <n v="0.05"/>
    <n v="133"/>
    <x v="1"/>
  </r>
  <r>
    <s v="ventas_lima_ene.xlsx"/>
    <x v="20"/>
    <x v="2"/>
    <s v="MOD003"/>
    <s v="Polo Básico"/>
    <x v="3"/>
    <x v="4"/>
    <s v="Ana Torres"/>
    <n v="1"/>
    <n v="55"/>
    <n v="0"/>
    <n v="55"/>
    <x v="2"/>
  </r>
  <r>
    <s v="ventas_lima_ene.xlsx"/>
    <x v="24"/>
    <x v="2"/>
    <s v="DEP002"/>
    <s v="Mat de Yoga"/>
    <x v="4"/>
    <x v="5"/>
    <s v="Ana Torres"/>
    <n v="5"/>
    <n v="85"/>
    <n v="0"/>
    <n v="425"/>
    <x v="2"/>
  </r>
  <r>
    <s v="ventas_lima_ene.xlsx"/>
    <x v="20"/>
    <x v="2"/>
    <s v="DEP002"/>
    <s v="Mat de Yoga"/>
    <x v="4"/>
    <x v="5"/>
    <s v="Camila Paredes"/>
    <n v="3"/>
    <n v="85"/>
    <n v="0"/>
    <n v="255"/>
    <x v="1"/>
  </r>
  <r>
    <s v="ventas_lima_ene.xlsx"/>
    <x v="7"/>
    <x v="2"/>
    <s v="HOG003"/>
    <s v="Sartén Antiadherente"/>
    <x v="2"/>
    <x v="4"/>
    <s v="Julio Campos"/>
    <n v="3"/>
    <n v="95"/>
    <n v="0.05"/>
    <n v="270.75"/>
    <x v="1"/>
  </r>
  <r>
    <s v="ventas_lima_ene.xlsx"/>
    <x v="12"/>
    <x v="2"/>
    <s v="BEL003"/>
    <s v="Shampoo Nutritivo"/>
    <x v="0"/>
    <x v="5"/>
    <s v="Fiorella Díaz"/>
    <n v="4"/>
    <n v="45"/>
    <n v="0"/>
    <n v="180"/>
    <x v="1"/>
  </r>
  <r>
    <s v="ventas_lima_ene.xlsx"/>
    <x v="29"/>
    <x v="2"/>
    <s v="TEC001"/>
    <s v="Laptop Lenovo"/>
    <x v="1"/>
    <x v="4"/>
    <s v="Camila Paredes"/>
    <n v="2"/>
    <n v="2800"/>
    <n v="0.05"/>
    <n v="5320"/>
    <x v="0"/>
  </r>
  <r>
    <s v="ventas_lima_ene.xlsx"/>
    <x v="14"/>
    <x v="2"/>
    <s v="MOD001"/>
    <s v="Casaca Denim"/>
    <x v="3"/>
    <x v="4"/>
    <s v="Fiorella Díaz"/>
    <n v="3"/>
    <n v="160"/>
    <n v="0"/>
    <n v="480"/>
    <x v="1"/>
  </r>
  <r>
    <s v="ventas_lima_ene.xlsx"/>
    <x v="22"/>
    <x v="2"/>
    <s v="MOD003"/>
    <s v="Polo Básico"/>
    <x v="3"/>
    <x v="4"/>
    <s v="Diana Salas"/>
    <n v="2"/>
    <n v="55"/>
    <n v="0"/>
    <n v="110"/>
    <x v="2"/>
  </r>
  <r>
    <s v="ventas_lima_ene.xlsx"/>
    <x v="27"/>
    <x v="2"/>
    <s v="DEP001"/>
    <s v="Mancuernas 5kg"/>
    <x v="4"/>
    <x v="5"/>
    <s v="María López"/>
    <n v="1"/>
    <n v="140"/>
    <n v="0"/>
    <n v="140"/>
    <x v="2"/>
  </r>
  <r>
    <s v="ventas_lima_ene.xlsx"/>
    <x v="25"/>
    <x v="2"/>
    <s v="BEL002"/>
    <s v="Crema Facial"/>
    <x v="0"/>
    <x v="4"/>
    <s v="Camila Paredes"/>
    <n v="5"/>
    <n v="60"/>
    <n v="0.1"/>
    <n v="270"/>
    <x v="3"/>
  </r>
  <r>
    <s v="ventas_lima_ene.xlsx"/>
    <x v="3"/>
    <x v="2"/>
    <s v="TEC002"/>
    <s v="Mouse Logitech"/>
    <x v="1"/>
    <x v="5"/>
    <s v="Fernando Ruiz"/>
    <n v="2"/>
    <n v="75"/>
    <n v="0"/>
    <n v="150"/>
    <x v="3"/>
  </r>
  <r>
    <s v="ventas_lima_ene.xlsx"/>
    <x v="29"/>
    <x v="2"/>
    <s v="HOG003"/>
    <s v="Sartén Antiadherente"/>
    <x v="2"/>
    <x v="4"/>
    <s v="Rosa Mendoza"/>
    <n v="2"/>
    <n v="95"/>
    <n v="0"/>
    <n v="190"/>
    <x v="2"/>
  </r>
  <r>
    <s v="ventas_lima_ene.xlsx"/>
    <x v="0"/>
    <x v="2"/>
    <s v="DEP003"/>
    <s v="Tomatodo Deportivo"/>
    <x v="4"/>
    <x v="5"/>
    <s v="Paola Arias"/>
    <n v="4"/>
    <n v="35"/>
    <n v="0.05"/>
    <n v="133"/>
    <x v="0"/>
  </r>
  <r>
    <s v="ventas_lima_ene.xlsx"/>
    <x v="18"/>
    <x v="2"/>
    <s v="BEL003"/>
    <s v="Shampoo Nutritivo"/>
    <x v="0"/>
    <x v="5"/>
    <s v="Sofía Navarro"/>
    <n v="1"/>
    <n v="45"/>
    <n v="0.05"/>
    <n v="42.75"/>
    <x v="1"/>
  </r>
  <r>
    <s v="ventas_lima_ene.xlsx"/>
    <x v="11"/>
    <x v="2"/>
    <s v="HOG002"/>
    <s v="Juego de Sábanas"/>
    <x v="2"/>
    <x v="5"/>
    <s v="Karina Aguilar"/>
    <n v="2"/>
    <n v="120"/>
    <n v="0"/>
    <n v="240"/>
    <x v="2"/>
  </r>
  <r>
    <s v="ventas_lima_ene.xlsx"/>
    <x v="12"/>
    <x v="2"/>
    <s v="MOD002"/>
    <s v="Zapatillas Urbanas"/>
    <x v="3"/>
    <x v="4"/>
    <s v="Karina Aguilar"/>
    <n v="1"/>
    <n v="210"/>
    <n v="0.1"/>
    <n v="189"/>
    <x v="2"/>
  </r>
  <r>
    <s v="ventas_lima_ene.xlsx"/>
    <x v="26"/>
    <x v="2"/>
    <s v="MOD002"/>
    <s v="Zapatillas Urbanas"/>
    <x v="3"/>
    <x v="5"/>
    <s v="Jorge Castillo"/>
    <n v="5"/>
    <n v="210"/>
    <n v="0.1"/>
    <n v="945"/>
    <x v="0"/>
  </r>
  <r>
    <s v="ventas_lima_ene.xlsx"/>
    <x v="22"/>
    <x v="2"/>
    <s v="BEL002"/>
    <s v="Crema Facial"/>
    <x v="0"/>
    <x v="4"/>
    <s v="Iván Soto"/>
    <n v="3"/>
    <n v="60"/>
    <n v="0"/>
    <n v="180"/>
    <x v="1"/>
  </r>
  <r>
    <s v="ventas_lima_ene.xlsx"/>
    <x v="2"/>
    <x v="2"/>
    <s v="BEL003"/>
    <s v="Shampoo Nutritivo"/>
    <x v="0"/>
    <x v="5"/>
    <s v="Kevin Vargas"/>
    <n v="5"/>
    <n v="45"/>
    <n v="0.05"/>
    <n v="213.75"/>
    <x v="0"/>
  </r>
  <r>
    <s v="ventas_lima_ene.xlsx"/>
    <x v="20"/>
    <x v="2"/>
    <s v="MOD002"/>
    <s v="Zapatillas Urbanas"/>
    <x v="3"/>
    <x v="4"/>
    <s v="Camila Paredes"/>
    <n v="5"/>
    <n v="210"/>
    <n v="0"/>
    <n v="1050"/>
    <x v="0"/>
  </r>
  <r>
    <s v="ventas_lima_ene.xlsx"/>
    <x v="22"/>
    <x v="2"/>
    <s v="MOD001"/>
    <s v="Casaca Denim"/>
    <x v="3"/>
    <x v="4"/>
    <s v="Ana Torres"/>
    <n v="5"/>
    <n v="160"/>
    <n v="0"/>
    <n v="800"/>
    <x v="2"/>
  </r>
  <r>
    <s v="ventas_lima_ene.xlsx"/>
    <x v="4"/>
    <x v="2"/>
    <s v="MOD003"/>
    <s v="Polo Básico"/>
    <x v="3"/>
    <x v="4"/>
    <s v="Alessandra Peña"/>
    <n v="1"/>
    <n v="55"/>
    <n v="0"/>
    <n v="55"/>
    <x v="1"/>
  </r>
  <r>
    <s v="ventas_lima_ene.xlsx"/>
    <x v="17"/>
    <x v="2"/>
    <s v="BEL001"/>
    <s v="Perfume Floral"/>
    <x v="0"/>
    <x v="5"/>
    <s v="Rosa Mendoza"/>
    <n v="1"/>
    <n v="170"/>
    <n v="0"/>
    <n v="170"/>
    <x v="3"/>
  </r>
  <r>
    <s v="ventas_lima_ene.xlsx"/>
    <x v="20"/>
    <x v="2"/>
    <s v="HOG001"/>
    <s v="Licuadora Oster"/>
    <x v="2"/>
    <x v="4"/>
    <s v="Fernando Ruiz"/>
    <n v="4"/>
    <n v="180"/>
    <n v="0.1"/>
    <n v="648"/>
    <x v="0"/>
  </r>
  <r>
    <s v="ventas_lima_ene.xlsx"/>
    <x v="27"/>
    <x v="2"/>
    <s v="MOD001"/>
    <s v="Casaca Denim"/>
    <x v="3"/>
    <x v="4"/>
    <s v="Bruno Medina"/>
    <n v="4"/>
    <n v="160"/>
    <n v="0.1"/>
    <n v="576"/>
    <x v="0"/>
  </r>
  <r>
    <s v="ventas_lima_ene.xlsx"/>
    <x v="20"/>
    <x v="2"/>
    <s v="DEP003"/>
    <s v="Tomatodo Deportivo"/>
    <x v="4"/>
    <x v="5"/>
    <s v="Kevin Vargas"/>
    <n v="1"/>
    <n v="35"/>
    <n v="0"/>
    <n v="35"/>
    <x v="0"/>
  </r>
  <r>
    <s v="ventas_lima_ene.xlsx"/>
    <x v="13"/>
    <x v="2"/>
    <s v="MOD001"/>
    <s v="Casaca Denim"/>
    <x v="3"/>
    <x v="4"/>
    <s v="Julio Campos"/>
    <n v="1"/>
    <n v="160"/>
    <n v="0"/>
    <n v="160"/>
    <x v="1"/>
  </r>
  <r>
    <s v="ventas_lima_ene.xlsx"/>
    <x v="30"/>
    <x v="2"/>
    <s v="BEL003"/>
    <s v="Shampoo Nutritivo"/>
    <x v="0"/>
    <x v="5"/>
    <s v="Camila Paredes"/>
    <n v="2"/>
    <n v="45"/>
    <n v="0"/>
    <n v="90"/>
    <x v="1"/>
  </r>
  <r>
    <s v="ventas_lima_ene.xlsx"/>
    <x v="17"/>
    <x v="2"/>
    <s v="TEC003"/>
    <s v="Audífonos JBL"/>
    <x v="1"/>
    <x v="5"/>
    <s v="Fiorella Díaz"/>
    <n v="1"/>
    <n v="220"/>
    <n v="0.15"/>
    <n v="187"/>
    <x v="3"/>
  </r>
  <r>
    <s v="ventas_lima_ene.xlsx"/>
    <x v="27"/>
    <x v="2"/>
    <s v="TEC002"/>
    <s v="Mouse Logitech"/>
    <x v="1"/>
    <x v="4"/>
    <s v="Carlos Rojas"/>
    <n v="3"/>
    <n v="75"/>
    <n v="0"/>
    <n v="225"/>
    <x v="1"/>
  </r>
  <r>
    <s v="ventas_lima_ene.xlsx"/>
    <x v="23"/>
    <x v="2"/>
    <s v="MOD003"/>
    <s v="Polo Básico"/>
    <x v="3"/>
    <x v="4"/>
    <s v="Gabriela Núñez"/>
    <n v="5"/>
    <n v="55"/>
    <n v="0.1"/>
    <n v="247.5"/>
    <x v="1"/>
  </r>
  <r>
    <s v="ventas_lima_ene.xlsx"/>
    <x v="10"/>
    <x v="2"/>
    <s v="BEL001"/>
    <s v="Perfume Floral"/>
    <x v="0"/>
    <x v="4"/>
    <s v="Alessandra Peña"/>
    <n v="1"/>
    <n v="170"/>
    <n v="0.05"/>
    <n v="161.5"/>
    <x v="2"/>
  </r>
  <r>
    <s v="ventas_lima_ene.xlsx"/>
    <x v="6"/>
    <x v="2"/>
    <s v="MOD003"/>
    <s v="Polo Básico"/>
    <x v="3"/>
    <x v="5"/>
    <s v="Lucía Pérez"/>
    <n v="1"/>
    <n v="55"/>
    <n v="0.05"/>
    <n v="52.25"/>
    <x v="0"/>
  </r>
  <r>
    <s v="ventas_lima_ene.xlsx"/>
    <x v="4"/>
    <x v="2"/>
    <s v="HOG001"/>
    <s v="Licuadora Oster"/>
    <x v="2"/>
    <x v="5"/>
    <s v="Omar Cárdenas"/>
    <n v="4"/>
    <n v="180"/>
    <n v="0"/>
    <n v="720"/>
    <x v="1"/>
  </r>
  <r>
    <s v="ventas_lima_ene.xlsx"/>
    <x v="18"/>
    <x v="2"/>
    <s v="TEC001"/>
    <s v="Laptop Lenovo"/>
    <x v="1"/>
    <x v="4"/>
    <s v="Gabriela Núñez"/>
    <n v="5"/>
    <n v="2800"/>
    <n v="0.15"/>
    <n v="11900"/>
    <x v="0"/>
  </r>
  <r>
    <s v="ventas_lima_ene.xlsx"/>
    <x v="28"/>
    <x v="2"/>
    <s v="TEC002"/>
    <s v="Mouse Logitech"/>
    <x v="1"/>
    <x v="4"/>
    <s v="Kevin Vargas"/>
    <n v="3"/>
    <n v="75"/>
    <n v="0.1"/>
    <n v="202.5"/>
    <x v="3"/>
  </r>
  <r>
    <s v="ventas_lima_ene.xlsx"/>
    <x v="7"/>
    <x v="2"/>
    <s v="BEL001"/>
    <s v="Perfume Floral"/>
    <x v="0"/>
    <x v="4"/>
    <s v="Julio Campos"/>
    <n v="3"/>
    <n v="170"/>
    <n v="0.05"/>
    <n v="484.5"/>
    <x v="0"/>
  </r>
  <r>
    <s v="ventas_lima_ene.xlsx"/>
    <x v="2"/>
    <x v="2"/>
    <s v="BEL002"/>
    <s v="Crema Facial"/>
    <x v="0"/>
    <x v="5"/>
    <s v="Jorge Castillo"/>
    <n v="1"/>
    <n v="60"/>
    <n v="0.1"/>
    <n v="54"/>
    <x v="2"/>
  </r>
  <r>
    <s v="ventas_lima_ene.xlsx"/>
    <x v="25"/>
    <x v="2"/>
    <s v="HOG001"/>
    <s v="Licuadora Oster"/>
    <x v="2"/>
    <x v="4"/>
    <s v="Javier Núñez"/>
    <n v="5"/>
    <n v="180"/>
    <n v="0"/>
    <n v="900"/>
    <x v="0"/>
  </r>
  <r>
    <s v="ventas_lima_ene.xlsx"/>
    <x v="13"/>
    <x v="2"/>
    <s v="MOD002"/>
    <s v="Zapatillas Urbanas"/>
    <x v="3"/>
    <x v="4"/>
    <s v="Fernando Ruiz"/>
    <n v="3"/>
    <n v="210"/>
    <n v="0.1"/>
    <n v="567"/>
    <x v="0"/>
  </r>
  <r>
    <s v="ventas_lima_ene.xlsx"/>
    <x v="4"/>
    <x v="2"/>
    <s v="TEC001"/>
    <s v="Laptop Lenovo"/>
    <x v="1"/>
    <x v="5"/>
    <s v="Paola Arias"/>
    <n v="3"/>
    <n v="2800"/>
    <n v="0.05"/>
    <n v="7980"/>
    <x v="3"/>
  </r>
  <r>
    <s v="ventas_lima_ene.xlsx"/>
    <x v="28"/>
    <x v="2"/>
    <s v="MOD003"/>
    <s v="Polo Básico"/>
    <x v="3"/>
    <x v="4"/>
    <s v="Mónica Palomino"/>
    <n v="1"/>
    <n v="55"/>
    <n v="0"/>
    <n v="55"/>
    <x v="0"/>
  </r>
  <r>
    <s v="ventas_lima_ene.xlsx"/>
    <x v="27"/>
    <x v="2"/>
    <s v="MOD003"/>
    <s v="Polo Básico"/>
    <x v="3"/>
    <x v="5"/>
    <s v="Omar Cárdenas"/>
    <n v="2"/>
    <n v="55"/>
    <n v="0"/>
    <n v="110"/>
    <x v="1"/>
  </r>
  <r>
    <s v="ventas_lima_ene.xlsx"/>
    <x v="10"/>
    <x v="2"/>
    <s v="BEL002"/>
    <s v="Crema Facial"/>
    <x v="0"/>
    <x v="4"/>
    <s v="Julio Campos"/>
    <n v="2"/>
    <n v="60"/>
    <n v="0.05"/>
    <n v="114"/>
    <x v="3"/>
  </r>
  <r>
    <s v="ventas_lima_ene.xlsx"/>
    <x v="22"/>
    <x v="2"/>
    <s v="BEL003"/>
    <s v="Shampoo Nutritivo"/>
    <x v="0"/>
    <x v="4"/>
    <s v="Andrés Romero"/>
    <n v="2"/>
    <n v="45"/>
    <n v="0.1"/>
    <n v="81"/>
    <x v="2"/>
  </r>
  <r>
    <s v="ventas_lima_ene.xlsx"/>
    <x v="19"/>
    <x v="2"/>
    <s v="BEL002"/>
    <s v="Crema Facial"/>
    <x v="0"/>
    <x v="5"/>
    <s v="Fernando Ruiz"/>
    <n v="1"/>
    <n v="60"/>
    <n v="0"/>
    <n v="60"/>
    <x v="2"/>
  </r>
  <r>
    <s v="ventas_lima_ene.xlsx"/>
    <x v="27"/>
    <x v="2"/>
    <s v="HOG001"/>
    <s v="Licuadora Oster"/>
    <x v="2"/>
    <x v="5"/>
    <s v="Mónica Palomino"/>
    <n v="1"/>
    <n v="180"/>
    <n v="0"/>
    <n v="180"/>
    <x v="3"/>
  </r>
  <r>
    <s v="ventas_lima_ene.xlsx"/>
    <x v="10"/>
    <x v="2"/>
    <s v="HOG003"/>
    <s v="Sartén Antiadherente"/>
    <x v="2"/>
    <x v="4"/>
    <s v="Diana Salas"/>
    <n v="2"/>
    <n v="95"/>
    <n v="0"/>
    <n v="190"/>
    <x v="1"/>
  </r>
  <r>
    <s v="ventas_lima_ene.xlsx"/>
    <x v="23"/>
    <x v="2"/>
    <s v="BEL003"/>
    <s v="Shampoo Nutritivo"/>
    <x v="0"/>
    <x v="5"/>
    <s v="Mónica Palomino"/>
    <n v="3"/>
    <n v="45"/>
    <n v="0"/>
    <n v="135"/>
    <x v="0"/>
  </r>
  <r>
    <s v="ventas_lima_ene.xlsx"/>
    <x v="17"/>
    <x v="2"/>
    <s v="BEL003"/>
    <s v="Shampoo Nutritivo"/>
    <x v="0"/>
    <x v="4"/>
    <s v="Diana Salas"/>
    <n v="1"/>
    <n v="45"/>
    <n v="0.1"/>
    <n v="40.5"/>
    <x v="1"/>
  </r>
  <r>
    <s v="ventas_lima_ene.xlsx"/>
    <x v="7"/>
    <x v="2"/>
    <s v="TEC002"/>
    <s v="Mouse Logitech"/>
    <x v="1"/>
    <x v="5"/>
    <s v="Gabriela Núñez"/>
    <n v="4"/>
    <n v="75"/>
    <n v="0"/>
    <n v="300"/>
    <x v="1"/>
  </r>
  <r>
    <s v="ventas_lima_ene.xlsx"/>
    <x v="27"/>
    <x v="2"/>
    <s v="HOG003"/>
    <s v="Sartén Antiadherente"/>
    <x v="2"/>
    <x v="5"/>
    <s v="Cliente no registrado"/>
    <n v="5"/>
    <n v="95"/>
    <n v="0"/>
    <n v="475"/>
    <x v="2"/>
  </r>
  <r>
    <s v="ventas_lima_ene.xlsx"/>
    <x v="19"/>
    <x v="2"/>
    <s v="HOG003"/>
    <s v="Sartén Antiadherente"/>
    <x v="2"/>
    <x v="5"/>
    <s v="César Salcedo"/>
    <n v="1"/>
    <n v="95"/>
    <n v="0.1"/>
    <n v="85.5"/>
    <x v="1"/>
  </r>
  <r>
    <s v="ventas_lima_ene.xlsx"/>
    <x v="10"/>
    <x v="2"/>
    <s v="DEP002"/>
    <s v="Mat de Yoga"/>
    <x v="4"/>
    <x v="5"/>
    <s v="Fiorella Díaz"/>
    <n v="3"/>
    <n v="85"/>
    <n v="0"/>
    <n v="255"/>
    <x v="0"/>
  </r>
  <r>
    <s v="ventas_lima_ene.xlsx"/>
    <x v="11"/>
    <x v="2"/>
    <s v="MOD002"/>
    <s v="Zapatillas Urbanas"/>
    <x v="3"/>
    <x v="5"/>
    <s v="Alessandra Peña"/>
    <n v="2"/>
    <n v="210"/>
    <n v="0"/>
    <n v="420"/>
    <x v="2"/>
  </r>
  <r>
    <s v="ventas_lima_ene.xlsx"/>
    <x v="1"/>
    <x v="2"/>
    <s v="MOD003"/>
    <s v="Polo Básico"/>
    <x v="3"/>
    <x v="4"/>
    <s v="Lucía Pérez"/>
    <n v="3"/>
    <n v="55"/>
    <n v="0"/>
    <n v="165"/>
    <x v="3"/>
  </r>
  <r>
    <s v="ventas_lima_ene.xlsx"/>
    <x v="24"/>
    <x v="2"/>
    <s v="DEP003"/>
    <s v="Tomatodo Deportivo"/>
    <x v="4"/>
    <x v="5"/>
    <s v="Lucía Pérez"/>
    <n v="5"/>
    <n v="35"/>
    <n v="0.05"/>
    <n v="166.25"/>
    <x v="3"/>
  </r>
  <r>
    <s v="ventas_lima_ene.xlsx"/>
    <x v="12"/>
    <x v="2"/>
    <s v="DEP003"/>
    <s v="Tomatodo Deportivo"/>
    <x v="4"/>
    <x v="5"/>
    <s v="Karina Aguilar"/>
    <n v="2"/>
    <n v="35"/>
    <n v="0.05"/>
    <n v="66.5"/>
    <x v="2"/>
  </r>
  <r>
    <s v="ventas_lima_ene.xlsx"/>
    <x v="2"/>
    <x v="2"/>
    <s v="DEP001"/>
    <s v="Mancuernas 5kg"/>
    <x v="4"/>
    <x v="4"/>
    <s v="Iván Soto"/>
    <n v="2"/>
    <n v="140"/>
    <n v="0.1"/>
    <n v="252"/>
    <x v="1"/>
  </r>
  <r>
    <s v="ventas_lima_ene.xlsx"/>
    <x v="16"/>
    <x v="2"/>
    <s v="MOD001"/>
    <s v="Casaca Denim"/>
    <x v="3"/>
    <x v="5"/>
    <s v="Renato Flores"/>
    <n v="5"/>
    <n v="160"/>
    <n v="0"/>
    <n v="800"/>
    <x v="2"/>
  </r>
  <r>
    <s v="ventas_lima_ene.xlsx"/>
    <x v="13"/>
    <x v="2"/>
    <s v="DEP001"/>
    <s v="Mancuernas 5kg"/>
    <x v="4"/>
    <x v="4"/>
    <s v="Renato Flores"/>
    <n v="1"/>
    <n v="140"/>
    <n v="0.1"/>
    <n v="126"/>
    <x v="2"/>
  </r>
  <r>
    <s v="ventas_lima_ene.xlsx"/>
    <x v="3"/>
    <x v="2"/>
    <s v="DEP003"/>
    <s v="Tomatodo Deportivo"/>
    <x v="4"/>
    <x v="4"/>
    <s v="Jorge Castillo"/>
    <n v="5"/>
    <n v="35"/>
    <n v="0"/>
    <n v="175"/>
    <x v="3"/>
  </r>
  <r>
    <s v="ventas_lima_ene.xlsx"/>
    <x v="3"/>
    <x v="2"/>
    <s v="TEC002"/>
    <s v="Mouse Logitech"/>
    <x v="1"/>
    <x v="5"/>
    <s v="Alessandra Peña"/>
    <n v="4"/>
    <n v="75"/>
    <n v="0.05"/>
    <n v="285"/>
    <x v="3"/>
  </r>
  <r>
    <s v="ventas_lima_ene.xlsx"/>
    <x v="19"/>
    <x v="2"/>
    <s v="MOD003"/>
    <s v="Polo Básico"/>
    <x v="3"/>
    <x v="5"/>
    <s v="Bruno Medina"/>
    <n v="5"/>
    <n v="55"/>
    <n v="0"/>
    <n v="275"/>
    <x v="3"/>
  </r>
  <r>
    <s v="ventas_lima_ene.xlsx"/>
    <x v="17"/>
    <x v="2"/>
    <s v="MOD001"/>
    <s v="Casaca Denim"/>
    <x v="3"/>
    <x v="5"/>
    <s v="Diana Salas"/>
    <n v="2"/>
    <n v="160"/>
    <n v="0.1"/>
    <n v="288"/>
    <x v="3"/>
  </r>
  <r>
    <s v="ventas_lima_ene.xlsx"/>
    <x v="25"/>
    <x v="2"/>
    <s v="TEC001"/>
    <s v="Laptop Lenovo"/>
    <x v="1"/>
    <x v="5"/>
    <s v="María López"/>
    <n v="3"/>
    <n v="2800"/>
    <n v="0"/>
    <n v="8400"/>
    <x v="2"/>
  </r>
  <r>
    <s v="ventas_lima_ene.xlsx"/>
    <x v="16"/>
    <x v="2"/>
    <s v="TEC002"/>
    <s v="Mouse Logitech"/>
    <x v="1"/>
    <x v="4"/>
    <s v="Fernando Ruiz"/>
    <n v="4"/>
    <n v="75"/>
    <n v="0.05"/>
    <n v="285"/>
    <x v="0"/>
  </r>
  <r>
    <s v="ventas_lima_ene.xlsx"/>
    <x v="1"/>
    <x v="2"/>
    <s v="MOD002"/>
    <s v="Zapatillas Urbanas"/>
    <x v="3"/>
    <x v="5"/>
    <s v="Karina Aguilar"/>
    <n v="4"/>
    <n v="210"/>
    <n v="0"/>
    <n v="840"/>
    <x v="1"/>
  </r>
  <r>
    <s v="ventas_lima_ene.xlsx"/>
    <x v="8"/>
    <x v="2"/>
    <s v="BEL001"/>
    <s v="Perfume Floral"/>
    <x v="0"/>
    <x v="5"/>
    <s v="Camila Paredes"/>
    <n v="5"/>
    <n v="170"/>
    <n v="0"/>
    <n v="850"/>
    <x v="3"/>
  </r>
  <r>
    <s v="ventas_lima_ene.xlsx"/>
    <x v="28"/>
    <x v="2"/>
    <s v="MOD002"/>
    <s v="Zapatillas Urbanas"/>
    <x v="3"/>
    <x v="4"/>
    <s v="Diana Salas"/>
    <n v="5"/>
    <n v="210"/>
    <n v="0.05"/>
    <n v="997.5"/>
    <x v="3"/>
  </r>
  <r>
    <s v="ventas_lima_ene.xlsx"/>
    <x v="10"/>
    <x v="2"/>
    <s v="MOD002"/>
    <s v="Zapatillas Urbanas"/>
    <x v="3"/>
    <x v="5"/>
    <s v="Mónica Palomino"/>
    <n v="4"/>
    <n v="210"/>
    <n v="0"/>
    <n v="840"/>
    <x v="3"/>
  </r>
  <r>
    <s v="ventas_lima_ene.xlsx"/>
    <x v="19"/>
    <x v="2"/>
    <s v="BEL002"/>
    <s v="Crema Facial"/>
    <x v="0"/>
    <x v="5"/>
    <s v="César Salcedo"/>
    <n v="5"/>
    <n v="60"/>
    <n v="0"/>
    <n v="300"/>
    <x v="1"/>
  </r>
  <r>
    <s v="ventas_lima_ene.xlsx"/>
    <x v="24"/>
    <x v="2"/>
    <s v="TEC002"/>
    <s v="Mouse Logitech"/>
    <x v="1"/>
    <x v="4"/>
    <s v="Camila Paredes"/>
    <n v="4"/>
    <n v="75"/>
    <n v="0"/>
    <n v="300"/>
    <x v="0"/>
  </r>
  <r>
    <s v="ventas_lima_ene.xlsx"/>
    <x v="28"/>
    <x v="2"/>
    <s v="TEC003"/>
    <s v="Audífonos JBL"/>
    <x v="1"/>
    <x v="5"/>
    <s v="Mónica Palomino"/>
    <n v="3"/>
    <n v="220"/>
    <n v="0"/>
    <n v="660"/>
    <x v="3"/>
  </r>
  <r>
    <s v="ventas_lima_ene.xlsx"/>
    <x v="9"/>
    <x v="2"/>
    <s v="HOG001"/>
    <s v="Licuadora Oster"/>
    <x v="2"/>
    <x v="4"/>
    <s v="Miguel Herrera"/>
    <n v="1"/>
    <n v="180"/>
    <n v="0"/>
    <n v="180"/>
    <x v="2"/>
  </r>
  <r>
    <s v="ventas_lima_ene.xlsx"/>
    <x v="11"/>
    <x v="2"/>
    <s v="DEP001"/>
    <s v="Mancuernas 5kg"/>
    <x v="4"/>
    <x v="4"/>
    <s v="Ana Torres"/>
    <n v="1"/>
    <n v="140"/>
    <n v="0.05"/>
    <n v="133"/>
    <x v="2"/>
  </r>
  <r>
    <s v="ventas_lima_ene.xlsx"/>
    <x v="5"/>
    <x v="2"/>
    <s v="HOG001"/>
    <s v="Licuadora Oster"/>
    <x v="2"/>
    <x v="4"/>
    <s v="Diana Salas"/>
    <n v="4"/>
    <n v="180"/>
    <n v="0.05"/>
    <n v="684"/>
    <x v="0"/>
  </r>
  <r>
    <s v="ventas_lima_ene.xlsx"/>
    <x v="16"/>
    <x v="2"/>
    <s v="TEC003"/>
    <s v="Audífonos JBL"/>
    <x v="1"/>
    <x v="4"/>
    <s v="Kevin Vargas"/>
    <n v="5"/>
    <n v="220"/>
    <n v="0.15"/>
    <n v="935"/>
    <x v="0"/>
  </r>
  <r>
    <s v="ventas_lima_ene.xlsx"/>
    <x v="5"/>
    <x v="2"/>
    <s v="TEC002"/>
    <s v="Mouse Logitech"/>
    <x v="1"/>
    <x v="5"/>
    <s v="Fiorella Díaz"/>
    <n v="1"/>
    <n v="75"/>
    <n v="0.1"/>
    <n v="67.5"/>
    <x v="2"/>
  </r>
  <r>
    <s v="ventas_lima_ene.xlsx"/>
    <x v="21"/>
    <x v="2"/>
    <s v="TEC001"/>
    <s v="Laptop Lenovo"/>
    <x v="1"/>
    <x v="5"/>
    <s v="Marco Espinoza"/>
    <n v="2"/>
    <n v="2800"/>
    <n v="0"/>
    <n v="5600"/>
    <x v="1"/>
  </r>
  <r>
    <s v="ventas_lima_ene.xlsx"/>
    <x v="14"/>
    <x v="2"/>
    <s v="DEP003"/>
    <s v="Tomatodo Deportivo"/>
    <x v="4"/>
    <x v="5"/>
    <s v="María López"/>
    <n v="5"/>
    <n v="35"/>
    <n v="0.05"/>
    <n v="166.25"/>
    <x v="0"/>
  </r>
  <r>
    <s v="ventas_lima_ene.xlsx"/>
    <x v="18"/>
    <x v="2"/>
    <s v="TEC001"/>
    <s v="Laptop Lenovo"/>
    <x v="1"/>
    <x v="5"/>
    <s v="Daniela Rivas"/>
    <n v="4"/>
    <n v="2800"/>
    <n v="0.1"/>
    <n v="10080"/>
    <x v="3"/>
  </r>
  <r>
    <s v="ventas_lima_ene.xlsx"/>
    <x v="23"/>
    <x v="2"/>
    <s v="DEP002"/>
    <s v="Mat de Yoga"/>
    <x v="4"/>
    <x v="5"/>
    <s v="Omar Cárdenas"/>
    <n v="4"/>
    <n v="85"/>
    <n v="0"/>
    <n v="340"/>
    <x v="3"/>
  </r>
  <r>
    <s v="ventas_lima_ene.xlsx"/>
    <x v="13"/>
    <x v="2"/>
    <s v="MOD001"/>
    <s v="Casaca Denim"/>
    <x v="3"/>
    <x v="4"/>
    <s v="María López"/>
    <n v="5"/>
    <n v="160"/>
    <n v="0"/>
    <n v="800"/>
    <x v="0"/>
  </r>
  <r>
    <s v="ventas_lima_ene.xlsx"/>
    <x v="5"/>
    <x v="2"/>
    <s v="BEL002"/>
    <s v="Crema Facial"/>
    <x v="0"/>
    <x v="5"/>
    <s v="Iván Soto"/>
    <n v="2"/>
    <n v="60"/>
    <n v="0.05"/>
    <n v="114"/>
    <x v="0"/>
  </r>
  <r>
    <s v="ventas_lima_ene.xlsx"/>
    <x v="17"/>
    <x v="2"/>
    <s v="TEC003"/>
    <s v="Audífonos JBL"/>
    <x v="1"/>
    <x v="5"/>
    <s v="Marco Espinoza"/>
    <n v="2"/>
    <n v="220"/>
    <n v="0"/>
    <n v="440"/>
    <x v="0"/>
  </r>
  <r>
    <s v="ventas_lima_ene.xlsx"/>
    <x v="29"/>
    <x v="2"/>
    <s v="MOD003"/>
    <s v="Polo Básico"/>
    <x v="3"/>
    <x v="4"/>
    <s v="Iván Soto"/>
    <n v="5"/>
    <n v="55"/>
    <n v="0.1"/>
    <n v="247.5"/>
    <x v="2"/>
  </r>
  <r>
    <s v="ventas_lima_ene.xlsx"/>
    <x v="8"/>
    <x v="2"/>
    <s v="DEP001"/>
    <s v="Mancuernas 5kg"/>
    <x v="4"/>
    <x v="4"/>
    <s v="Camila Paredes"/>
    <n v="4"/>
    <n v="140"/>
    <n v="0"/>
    <n v="560"/>
    <x v="2"/>
  </r>
  <r>
    <s v="ventas_lima_ene.xlsx"/>
    <x v="3"/>
    <x v="2"/>
    <s v="HOG002"/>
    <s v="Juego de Sábanas"/>
    <x v="2"/>
    <x v="5"/>
    <s v="Bruno Medina"/>
    <n v="5"/>
    <n v="120"/>
    <n v="0"/>
    <n v="600"/>
    <x v="0"/>
  </r>
  <r>
    <s v="ventas_lima_ene.xlsx"/>
    <x v="17"/>
    <x v="2"/>
    <s v="HOG003"/>
    <s v="Sartén Antiadherente"/>
    <x v="2"/>
    <x v="4"/>
    <s v="Lucía Pérez"/>
    <n v="4"/>
    <n v="95"/>
    <n v="0"/>
    <n v="380"/>
    <x v="0"/>
  </r>
  <r>
    <s v="ventas_lima_ene.xlsx"/>
    <x v="16"/>
    <x v="2"/>
    <s v="TEC002"/>
    <s v="Mouse Logitech"/>
    <x v="1"/>
    <x v="4"/>
    <s v="Bruno Medina"/>
    <n v="5"/>
    <n v="75"/>
    <n v="0.15"/>
    <n v="318.75"/>
    <x v="3"/>
  </r>
  <r>
    <s v="ventas_lima_ene.xlsx"/>
    <x v="23"/>
    <x v="2"/>
    <s v="HOG001"/>
    <s v="Licuadora Oster"/>
    <x v="2"/>
    <x v="5"/>
    <s v="Mónica Palomino"/>
    <n v="5"/>
    <n v="180"/>
    <n v="0.15"/>
    <n v="765"/>
    <x v="2"/>
  </r>
  <r>
    <s v="ventas_lima_ene.xlsx"/>
    <x v="8"/>
    <x v="2"/>
    <s v="HOG002"/>
    <s v="Juego de Sábanas"/>
    <x v="2"/>
    <x v="4"/>
    <s v="Carlos Rojas"/>
    <n v="3"/>
    <n v="120"/>
    <n v="0"/>
    <n v="360"/>
    <x v="0"/>
  </r>
  <r>
    <s v="ventas_lima_ene.xlsx"/>
    <x v="21"/>
    <x v="2"/>
    <s v="DEP002"/>
    <s v="Mat de Yoga"/>
    <x v="4"/>
    <x v="5"/>
    <s v="Ana Torres"/>
    <n v="2"/>
    <n v="85"/>
    <n v="0.05"/>
    <n v="161.5"/>
    <x v="0"/>
  </r>
  <r>
    <s v="ventas_lima_ene.xlsx"/>
    <x v="11"/>
    <x v="2"/>
    <s v="MOD001"/>
    <s v="Casaca Denim"/>
    <x v="3"/>
    <x v="4"/>
    <s v="Javier Núñez"/>
    <n v="4"/>
    <n v="160"/>
    <n v="0"/>
    <n v="640"/>
    <x v="3"/>
  </r>
  <r>
    <s v="ventas_lima_ene.xlsx"/>
    <x v="29"/>
    <x v="2"/>
    <s v="TEC002"/>
    <s v="Mouse Logitech"/>
    <x v="1"/>
    <x v="4"/>
    <s v="Andrés Romero"/>
    <n v="1"/>
    <n v="75"/>
    <n v="0"/>
    <n v="75"/>
    <x v="0"/>
  </r>
  <r>
    <s v="ventas_lima_ene.xlsx"/>
    <x v="21"/>
    <x v="2"/>
    <s v="TEC002"/>
    <s v="Mouse Logitech"/>
    <x v="1"/>
    <x v="5"/>
    <s v="Andrés Romero"/>
    <n v="2"/>
    <n v="75"/>
    <n v="0"/>
    <n v="150"/>
    <x v="2"/>
  </r>
  <r>
    <s v="ventas_lima_ene.xlsx"/>
    <x v="24"/>
    <x v="2"/>
    <s v="DEP003"/>
    <s v="Tomatodo Deportivo"/>
    <x v="4"/>
    <x v="5"/>
    <s v="Fernando Ruiz"/>
    <n v="4"/>
    <n v="35"/>
    <n v="0"/>
    <n v="140"/>
    <x v="0"/>
  </r>
  <r>
    <s v="ventas_lima_ene.xlsx"/>
    <x v="9"/>
    <x v="2"/>
    <s v="MOD003"/>
    <s v="Polo Básico"/>
    <x v="3"/>
    <x v="4"/>
    <s v="Lucía Pérez"/>
    <n v="1"/>
    <n v="55"/>
    <n v="0.05"/>
    <n v="52.25"/>
    <x v="2"/>
  </r>
  <r>
    <s v="ventas_lima_feb.xlsx"/>
    <x v="54"/>
    <x v="2"/>
    <s v="HOG002"/>
    <s v="Juego de Sábanas"/>
    <x v="2"/>
    <x v="4"/>
    <s v="Karina Aguilar"/>
    <n v="1"/>
    <n v="120"/>
    <n v="0"/>
    <n v="120"/>
    <x v="3"/>
  </r>
  <r>
    <s v="ventas_lima_feb.xlsx"/>
    <x v="34"/>
    <x v="2"/>
    <s v="BEL002"/>
    <s v="Crema Facial"/>
    <x v="0"/>
    <x v="4"/>
    <s v="Karina Aguilar"/>
    <n v="5"/>
    <n v="60"/>
    <n v="0.05"/>
    <n v="285"/>
    <x v="0"/>
  </r>
  <r>
    <s v="ventas_lima_feb.xlsx"/>
    <x v="49"/>
    <x v="2"/>
    <s v="HOG003"/>
    <s v="Sartén Antiadherente"/>
    <x v="2"/>
    <x v="5"/>
    <s v="Alessandra Peña"/>
    <n v="5"/>
    <n v="95"/>
    <n v="0.05"/>
    <n v="451.25"/>
    <x v="3"/>
  </r>
  <r>
    <s v="ventas_lima_feb.xlsx"/>
    <x v="44"/>
    <x v="2"/>
    <s v="MOD001"/>
    <s v="Casaca Denim"/>
    <x v="3"/>
    <x v="4"/>
    <s v="Fernando Ruiz"/>
    <n v="4"/>
    <n v="160"/>
    <n v="0.05"/>
    <n v="608"/>
    <x v="1"/>
  </r>
  <r>
    <s v="ventas_lima_feb.xlsx"/>
    <x v="88"/>
    <x v="2"/>
    <s v="MOD003"/>
    <s v="Polo Básico"/>
    <x v="3"/>
    <x v="5"/>
    <s v="Elena Vera"/>
    <n v="2"/>
    <n v="55"/>
    <n v="0.05"/>
    <n v="104.5"/>
    <x v="3"/>
  </r>
  <r>
    <s v="ventas_lima_feb.xlsx"/>
    <x v="34"/>
    <x v="2"/>
    <s v="HOG002"/>
    <s v="Juego de Sábanas"/>
    <x v="2"/>
    <x v="4"/>
    <s v="Daniela Rivas"/>
    <n v="2"/>
    <n v="120"/>
    <n v="0"/>
    <n v="240"/>
    <x v="0"/>
  </r>
  <r>
    <s v="ventas_lima_feb.xlsx"/>
    <x v="47"/>
    <x v="2"/>
    <s v="HOG001"/>
    <s v="Licuadora Oster"/>
    <x v="2"/>
    <x v="5"/>
    <s v="Bruno Medina"/>
    <n v="4"/>
    <n v="180"/>
    <n v="0.15"/>
    <n v="612"/>
    <x v="0"/>
  </r>
  <r>
    <s v="ventas_lima_feb.xlsx"/>
    <x v="52"/>
    <x v="2"/>
    <s v="TEC003"/>
    <s v="Audífonos JBL"/>
    <x v="1"/>
    <x v="4"/>
    <s v="Mónica Palomino"/>
    <n v="5"/>
    <n v="220"/>
    <n v="0"/>
    <n v="1100"/>
    <x v="1"/>
  </r>
  <r>
    <s v="ventas_lima_feb.xlsx"/>
    <x v="36"/>
    <x v="2"/>
    <s v="BEL003"/>
    <s v="Shampoo Nutritivo"/>
    <x v="0"/>
    <x v="4"/>
    <s v="Renato Flores"/>
    <n v="1"/>
    <n v="45"/>
    <n v="0.05"/>
    <n v="42.75"/>
    <x v="1"/>
  </r>
  <r>
    <s v="ventas_lima_feb.xlsx"/>
    <x v="45"/>
    <x v="2"/>
    <s v="DEP002"/>
    <s v="Mat de Yoga"/>
    <x v="4"/>
    <x v="5"/>
    <s v="Daniela Rivas"/>
    <n v="1"/>
    <n v="85"/>
    <n v="0"/>
    <n v="85"/>
    <x v="3"/>
  </r>
  <r>
    <s v="ventas_lima_feb.xlsx"/>
    <x v="52"/>
    <x v="2"/>
    <s v="DEP001"/>
    <s v="Mancuernas 5kg"/>
    <x v="4"/>
    <x v="5"/>
    <s v="Cliente no registrado"/>
    <n v="1"/>
    <n v="140"/>
    <n v="0"/>
    <n v="140"/>
    <x v="0"/>
  </r>
  <r>
    <s v="ventas_lima_feb.xlsx"/>
    <x v="87"/>
    <x v="2"/>
    <s v="MOD002"/>
    <s v="Zapatillas Urbanas"/>
    <x v="3"/>
    <x v="5"/>
    <s v="Omar Cárdenas"/>
    <n v="3"/>
    <n v="210"/>
    <n v="0"/>
    <n v="630"/>
    <x v="2"/>
  </r>
  <r>
    <s v="ventas_lima_feb.xlsx"/>
    <x v="39"/>
    <x v="2"/>
    <s v="TEC002"/>
    <s v="Mouse Logitech"/>
    <x v="1"/>
    <x v="4"/>
    <s v="Diana Salas"/>
    <n v="1"/>
    <n v="75"/>
    <n v="0"/>
    <n v="75"/>
    <x v="0"/>
  </r>
  <r>
    <s v="ventas_lima_feb.xlsx"/>
    <x v="34"/>
    <x v="2"/>
    <s v="HOG001"/>
    <s v="Licuadora Oster"/>
    <x v="2"/>
    <x v="5"/>
    <s v="Fiorella Díaz"/>
    <n v="4"/>
    <n v="180"/>
    <n v="0"/>
    <n v="720"/>
    <x v="2"/>
  </r>
  <r>
    <s v="ventas_lima_feb.xlsx"/>
    <x v="35"/>
    <x v="2"/>
    <s v="HOG002"/>
    <s v="Juego de Sábanas"/>
    <x v="2"/>
    <x v="4"/>
    <s v="Camila Paredes"/>
    <n v="1"/>
    <n v="120"/>
    <n v="0.05"/>
    <n v="114"/>
    <x v="3"/>
  </r>
  <r>
    <s v="ventas_lima_feb.xlsx"/>
    <x v="46"/>
    <x v="2"/>
    <s v="MOD002"/>
    <s v="Zapatillas Urbanas"/>
    <x v="3"/>
    <x v="4"/>
    <s v="Javier Núñez"/>
    <n v="1"/>
    <n v="210"/>
    <n v="0.05"/>
    <n v="199.5"/>
    <x v="3"/>
  </r>
  <r>
    <s v="ventas_lima_feb.xlsx"/>
    <x v="35"/>
    <x v="2"/>
    <s v="DEP001"/>
    <s v="Mancuernas 5kg"/>
    <x v="4"/>
    <x v="4"/>
    <s v="Omar Cárdenas"/>
    <n v="3"/>
    <n v="140"/>
    <n v="0.05"/>
    <n v="399"/>
    <x v="1"/>
  </r>
  <r>
    <s v="ventas_lima_feb.xlsx"/>
    <x v="50"/>
    <x v="2"/>
    <s v="TEC003"/>
    <s v="Audífonos JBL"/>
    <x v="1"/>
    <x v="4"/>
    <s v="Diana Salas"/>
    <n v="5"/>
    <n v="220"/>
    <n v="0"/>
    <n v="1100"/>
    <x v="1"/>
  </r>
  <r>
    <s v="ventas_lima_feb.xlsx"/>
    <x v="54"/>
    <x v="2"/>
    <s v="TEC003"/>
    <s v="Audífonos JBL"/>
    <x v="1"/>
    <x v="4"/>
    <s v="Fiorella Díaz"/>
    <n v="3"/>
    <n v="220"/>
    <n v="0"/>
    <n v="660"/>
    <x v="3"/>
  </r>
  <r>
    <s v="ventas_lima_feb.xlsx"/>
    <x v="39"/>
    <x v="2"/>
    <s v="BEL002"/>
    <s v="Crema Facial"/>
    <x v="0"/>
    <x v="5"/>
    <s v="Julio Campos"/>
    <n v="3"/>
    <n v="60"/>
    <n v="0"/>
    <n v="180"/>
    <x v="0"/>
  </r>
  <r>
    <s v="ventas_lima_feb.xlsx"/>
    <x v="46"/>
    <x v="2"/>
    <s v="HOG003"/>
    <s v="Sartén Antiadherente"/>
    <x v="2"/>
    <x v="4"/>
    <s v="Miguel Herrera"/>
    <n v="2"/>
    <n v="95"/>
    <n v="0.05"/>
    <n v="180.5"/>
    <x v="1"/>
  </r>
  <r>
    <s v="ventas_lima_feb.xlsx"/>
    <x v="44"/>
    <x v="2"/>
    <s v="TEC002"/>
    <s v="Mouse Logitech"/>
    <x v="1"/>
    <x v="5"/>
    <s v="Sofía Navarro"/>
    <n v="2"/>
    <n v="75"/>
    <n v="0.1"/>
    <n v="135"/>
    <x v="1"/>
  </r>
  <r>
    <s v="ventas_lima_feb.xlsx"/>
    <x v="42"/>
    <x v="2"/>
    <s v="DEP001"/>
    <s v="Mancuernas 5kg"/>
    <x v="4"/>
    <x v="5"/>
    <s v="César Salcedo"/>
    <n v="4"/>
    <n v="140"/>
    <n v="0"/>
    <n v="560"/>
    <x v="3"/>
  </r>
  <r>
    <s v="ventas_lima_feb.xlsx"/>
    <x v="39"/>
    <x v="2"/>
    <s v="TEC002"/>
    <s v="Mouse Logitech"/>
    <x v="1"/>
    <x v="4"/>
    <s v="Rosa Mendoza"/>
    <n v="5"/>
    <n v="75"/>
    <n v="0"/>
    <n v="375"/>
    <x v="3"/>
  </r>
  <r>
    <s v="ventas_lima_feb.xlsx"/>
    <x v="44"/>
    <x v="2"/>
    <s v="DEP002"/>
    <s v="Mat de Yoga"/>
    <x v="4"/>
    <x v="5"/>
    <s v="Ana Torres"/>
    <n v="2"/>
    <n v="85"/>
    <n v="0.05"/>
    <n v="161.5"/>
    <x v="0"/>
  </r>
  <r>
    <s v="ventas_lima_feb.xlsx"/>
    <x v="33"/>
    <x v="2"/>
    <s v="MOD001"/>
    <s v="Casaca Denim"/>
    <x v="3"/>
    <x v="4"/>
    <s v="Julio Campos"/>
    <n v="3"/>
    <n v="160"/>
    <n v="0"/>
    <n v="480"/>
    <x v="3"/>
  </r>
  <r>
    <s v="ventas_lima_feb.xlsx"/>
    <x v="33"/>
    <x v="2"/>
    <s v="TEC002"/>
    <s v="Mouse Logitech"/>
    <x v="1"/>
    <x v="5"/>
    <s v="Ana Torres"/>
    <n v="1"/>
    <n v="75"/>
    <n v="0"/>
    <n v="75"/>
    <x v="0"/>
  </r>
  <r>
    <s v="ventas_lima_feb.xlsx"/>
    <x v="52"/>
    <x v="2"/>
    <s v="MOD001"/>
    <s v="Casaca Denim"/>
    <x v="3"/>
    <x v="4"/>
    <s v="Kevin Vargas"/>
    <n v="1"/>
    <n v="160"/>
    <n v="0.05"/>
    <n v="152"/>
    <x v="3"/>
  </r>
  <r>
    <s v="ventas_lima_feb.xlsx"/>
    <x v="43"/>
    <x v="2"/>
    <s v="TEC003"/>
    <s v="Audífonos JBL"/>
    <x v="1"/>
    <x v="4"/>
    <s v="Fernando Ruiz"/>
    <n v="3"/>
    <n v="220"/>
    <n v="0"/>
    <n v="660"/>
    <x v="0"/>
  </r>
  <r>
    <s v="ventas_lima_feb.xlsx"/>
    <x v="42"/>
    <x v="2"/>
    <s v="MOD001"/>
    <s v="Casaca Denim"/>
    <x v="3"/>
    <x v="5"/>
    <s v="Bruno Medina"/>
    <n v="4"/>
    <n v="160"/>
    <n v="0.05"/>
    <n v="608"/>
    <x v="3"/>
  </r>
  <r>
    <s v="ventas_lima_feb.xlsx"/>
    <x v="32"/>
    <x v="2"/>
    <s v="MOD003"/>
    <s v="Polo Básico"/>
    <x v="3"/>
    <x v="5"/>
    <s v="Cliente no registrado"/>
    <n v="2"/>
    <n v="55"/>
    <n v="0"/>
    <n v="110"/>
    <x v="3"/>
  </r>
  <r>
    <s v="ventas_lima_feb.xlsx"/>
    <x v="35"/>
    <x v="2"/>
    <s v="HOG002"/>
    <s v="Juego de Sábanas"/>
    <x v="2"/>
    <x v="5"/>
    <s v="Fernando Ruiz"/>
    <n v="5"/>
    <n v="120"/>
    <n v="0"/>
    <n v="600"/>
    <x v="2"/>
  </r>
  <r>
    <s v="ventas_lima_feb.xlsx"/>
    <x v="54"/>
    <x v="2"/>
    <s v="HOG002"/>
    <s v="Juego de Sábanas"/>
    <x v="2"/>
    <x v="5"/>
    <s v="Camila Paredes"/>
    <n v="5"/>
    <n v="120"/>
    <n v="0.1"/>
    <n v="540"/>
    <x v="0"/>
  </r>
  <r>
    <s v="ventas_lima_feb.xlsx"/>
    <x v="56"/>
    <x v="2"/>
    <s v="HOG002"/>
    <s v="Juego de Sábanas"/>
    <x v="2"/>
    <x v="4"/>
    <s v="Diana Salas"/>
    <n v="4"/>
    <n v="120"/>
    <n v="0.15"/>
    <n v="408"/>
    <x v="3"/>
  </r>
  <r>
    <s v="ventas_lima_feb.xlsx"/>
    <x v="52"/>
    <x v="2"/>
    <s v="HOG003"/>
    <s v="Sartén Antiadherente"/>
    <x v="2"/>
    <x v="4"/>
    <s v="Julio Campos"/>
    <n v="5"/>
    <n v="95"/>
    <n v="0"/>
    <n v="475"/>
    <x v="1"/>
  </r>
  <r>
    <s v="ventas_lima_feb.xlsx"/>
    <x v="54"/>
    <x v="2"/>
    <s v="BEL003"/>
    <s v="Shampoo Nutritivo"/>
    <x v="0"/>
    <x v="5"/>
    <s v="Mónica Palomino"/>
    <n v="4"/>
    <n v="45"/>
    <n v="0.1"/>
    <n v="162"/>
    <x v="1"/>
  </r>
  <r>
    <s v="ventas_lima_feb.xlsx"/>
    <x v="32"/>
    <x v="2"/>
    <s v="BEL001"/>
    <s v="Perfume Floral"/>
    <x v="0"/>
    <x v="5"/>
    <s v="César Salcedo"/>
    <n v="4"/>
    <n v="170"/>
    <n v="0.05"/>
    <n v="646"/>
    <x v="2"/>
  </r>
  <r>
    <s v="ventas_lima_feb.xlsx"/>
    <x v="38"/>
    <x v="2"/>
    <s v="DEP002"/>
    <s v="Mat de Yoga"/>
    <x v="4"/>
    <x v="5"/>
    <s v="Julio Campos"/>
    <n v="4"/>
    <n v="85"/>
    <n v="0"/>
    <n v="340"/>
    <x v="3"/>
  </r>
  <r>
    <s v="ventas_lima_feb.xlsx"/>
    <x v="56"/>
    <x v="2"/>
    <s v="MOD002"/>
    <s v="Zapatillas Urbanas"/>
    <x v="3"/>
    <x v="4"/>
    <s v="Renato Flores"/>
    <n v="3"/>
    <n v="210"/>
    <n v="0.05"/>
    <n v="598.5"/>
    <x v="0"/>
  </r>
  <r>
    <s v="ventas_lima_feb.xlsx"/>
    <x v="47"/>
    <x v="2"/>
    <s v="TEC003"/>
    <s v="Audífonos JBL"/>
    <x v="1"/>
    <x v="5"/>
    <s v="Sofía Navarro"/>
    <n v="5"/>
    <n v="220"/>
    <n v="0"/>
    <n v="1100"/>
    <x v="3"/>
  </r>
  <r>
    <s v="ventas_lima_feb.xlsx"/>
    <x v="40"/>
    <x v="2"/>
    <s v="TEC002"/>
    <s v="Mouse Logitech"/>
    <x v="1"/>
    <x v="4"/>
    <s v="Camila Paredes"/>
    <n v="1"/>
    <n v="75"/>
    <n v="0"/>
    <n v="75"/>
    <x v="3"/>
  </r>
  <r>
    <s v="ventas_lima_feb.xlsx"/>
    <x v="32"/>
    <x v="2"/>
    <s v="DEP003"/>
    <s v="Tomatodo Deportivo"/>
    <x v="4"/>
    <x v="5"/>
    <s v="Iván Soto"/>
    <n v="5"/>
    <n v="35"/>
    <n v="0.05"/>
    <n v="166.25"/>
    <x v="1"/>
  </r>
  <r>
    <s v="ventas_lima_feb.xlsx"/>
    <x v="55"/>
    <x v="2"/>
    <s v="HOG002"/>
    <s v="Juego de Sábanas"/>
    <x v="2"/>
    <x v="4"/>
    <s v="Sofía Navarro"/>
    <n v="1"/>
    <n v="120"/>
    <n v="0"/>
    <n v="120"/>
    <x v="3"/>
  </r>
  <r>
    <s v="ventas_lima_feb.xlsx"/>
    <x v="43"/>
    <x v="2"/>
    <s v="DEP003"/>
    <s v="Tomatodo Deportivo"/>
    <x v="4"/>
    <x v="4"/>
    <s v="Fiorella Díaz"/>
    <n v="5"/>
    <n v="35"/>
    <n v="0"/>
    <n v="175"/>
    <x v="3"/>
  </r>
  <r>
    <s v="ventas_lima_feb.xlsx"/>
    <x v="46"/>
    <x v="2"/>
    <s v="HOG002"/>
    <s v="Juego de Sábanas"/>
    <x v="2"/>
    <x v="4"/>
    <s v="Cliente no registrado"/>
    <n v="3"/>
    <n v="120"/>
    <n v="0"/>
    <n v="360"/>
    <x v="0"/>
  </r>
  <r>
    <s v="ventas_lima_feb.xlsx"/>
    <x v="55"/>
    <x v="2"/>
    <s v="DEP001"/>
    <s v="Mancuernas 5kg"/>
    <x v="4"/>
    <x v="4"/>
    <s v="Julio Campos"/>
    <n v="2"/>
    <n v="140"/>
    <n v="0.1"/>
    <n v="252"/>
    <x v="2"/>
  </r>
  <r>
    <s v="ventas_lima_feb.xlsx"/>
    <x v="39"/>
    <x v="2"/>
    <s v="HOG002"/>
    <s v="Juego de Sábanas"/>
    <x v="2"/>
    <x v="5"/>
    <s v="Kevin Vargas"/>
    <n v="4"/>
    <n v="120"/>
    <n v="0.15"/>
    <n v="408"/>
    <x v="3"/>
  </r>
  <r>
    <s v="ventas_lima_feb.xlsx"/>
    <x v="45"/>
    <x v="2"/>
    <s v="HOG003"/>
    <s v="Sartén Antiadherente"/>
    <x v="2"/>
    <x v="5"/>
    <s v="Fiorella Díaz"/>
    <n v="5"/>
    <n v="95"/>
    <n v="0.1"/>
    <n v="427.5"/>
    <x v="2"/>
  </r>
  <r>
    <s v="ventas_lima_feb.xlsx"/>
    <x v="56"/>
    <x v="2"/>
    <s v="TEC003"/>
    <s v="Audífonos JBL"/>
    <x v="1"/>
    <x v="4"/>
    <s v="Lucía Pérez"/>
    <n v="1"/>
    <n v="220"/>
    <n v="0.05"/>
    <n v="209"/>
    <x v="3"/>
  </r>
  <r>
    <s v="ventas_lima_feb.xlsx"/>
    <x v="47"/>
    <x v="2"/>
    <s v="TEC002"/>
    <s v="Mouse Logitech"/>
    <x v="1"/>
    <x v="5"/>
    <s v="Marco Espinoza"/>
    <n v="4"/>
    <n v="75"/>
    <n v="0"/>
    <n v="300"/>
    <x v="3"/>
  </r>
  <r>
    <s v="ventas_lima_feb.xlsx"/>
    <x v="45"/>
    <x v="2"/>
    <s v="MOD003"/>
    <s v="Polo Básico"/>
    <x v="3"/>
    <x v="4"/>
    <s v="Fiorella Díaz"/>
    <n v="3"/>
    <n v="55"/>
    <n v="0"/>
    <n v="165"/>
    <x v="0"/>
  </r>
  <r>
    <s v="ventas_lima_feb.xlsx"/>
    <x v="32"/>
    <x v="2"/>
    <s v="BEL002"/>
    <s v="Crema Facial"/>
    <x v="0"/>
    <x v="5"/>
    <s v="Pedro Chávez"/>
    <n v="5"/>
    <n v="60"/>
    <n v="0"/>
    <n v="300"/>
    <x v="1"/>
  </r>
  <r>
    <s v="ventas_lima_feb.xlsx"/>
    <x v="36"/>
    <x v="2"/>
    <s v="TEC003"/>
    <s v="Audífonos JBL"/>
    <x v="1"/>
    <x v="4"/>
    <s v="Fernando Ruiz"/>
    <n v="2"/>
    <n v="220"/>
    <n v="0"/>
    <n v="440"/>
    <x v="2"/>
  </r>
  <r>
    <s v="ventas_lima_feb.xlsx"/>
    <x v="47"/>
    <x v="2"/>
    <s v="MOD002"/>
    <s v="Zapatillas Urbanas"/>
    <x v="3"/>
    <x v="4"/>
    <s v="Iván Soto"/>
    <n v="5"/>
    <n v="210"/>
    <n v="0.05"/>
    <n v="997.5"/>
    <x v="0"/>
  </r>
  <r>
    <s v="ventas_lima_feb.xlsx"/>
    <x v="38"/>
    <x v="2"/>
    <s v="TEC002"/>
    <s v="Mouse Logitech"/>
    <x v="1"/>
    <x v="4"/>
    <s v="Ana Torres"/>
    <n v="3"/>
    <n v="75"/>
    <n v="0.1"/>
    <n v="202.5"/>
    <x v="3"/>
  </r>
  <r>
    <s v="ventas_lima_feb.xlsx"/>
    <x v="40"/>
    <x v="2"/>
    <s v="TEC002"/>
    <s v="Mouse Logitech"/>
    <x v="1"/>
    <x v="5"/>
    <s v="Iván Soto"/>
    <n v="4"/>
    <n v="75"/>
    <n v="0.15"/>
    <n v="255"/>
    <x v="3"/>
  </r>
  <r>
    <s v="ventas_lima_feb.xlsx"/>
    <x v="33"/>
    <x v="2"/>
    <s v="DEP002"/>
    <s v="Mat de Yoga"/>
    <x v="4"/>
    <x v="4"/>
    <s v="Renato Flores"/>
    <n v="4"/>
    <n v="85"/>
    <n v="0"/>
    <n v="340"/>
    <x v="0"/>
  </r>
  <r>
    <s v="ventas_lima_feb.xlsx"/>
    <x v="53"/>
    <x v="2"/>
    <s v="TEC001"/>
    <s v="Laptop Lenovo"/>
    <x v="1"/>
    <x v="5"/>
    <s v="Karina Aguilar"/>
    <n v="2"/>
    <n v="2800"/>
    <n v="0"/>
    <n v="5600"/>
    <x v="3"/>
  </r>
  <r>
    <s v="ventas_lima_feb.xlsx"/>
    <x v="51"/>
    <x v="2"/>
    <s v="MOD002"/>
    <s v="Zapatillas Urbanas"/>
    <x v="3"/>
    <x v="5"/>
    <s v="Karina Aguilar"/>
    <n v="1"/>
    <n v="210"/>
    <n v="0.05"/>
    <n v="199.5"/>
    <x v="1"/>
  </r>
  <r>
    <s v="ventas_lima_feb.xlsx"/>
    <x v="36"/>
    <x v="2"/>
    <s v="DEP003"/>
    <s v="Tomatodo Deportivo"/>
    <x v="4"/>
    <x v="4"/>
    <s v="Daniela Rivas"/>
    <n v="4"/>
    <n v="35"/>
    <n v="0"/>
    <n v="140"/>
    <x v="2"/>
  </r>
  <r>
    <s v="ventas_lima_feb.xlsx"/>
    <x v="42"/>
    <x v="2"/>
    <s v="HOG002"/>
    <s v="Juego de Sábanas"/>
    <x v="2"/>
    <x v="4"/>
    <s v="Jorge Castillo"/>
    <n v="1"/>
    <n v="120"/>
    <n v="0"/>
    <n v="120"/>
    <x v="2"/>
  </r>
  <r>
    <s v="ventas_lima_feb.xlsx"/>
    <x v="35"/>
    <x v="2"/>
    <s v="TEC003"/>
    <s v="Audífonos JBL"/>
    <x v="1"/>
    <x v="5"/>
    <s v="Rosa Mendoza"/>
    <n v="5"/>
    <n v="220"/>
    <n v="0.05"/>
    <n v="1045"/>
    <x v="2"/>
  </r>
  <r>
    <s v="ventas_lima_feb.xlsx"/>
    <x v="52"/>
    <x v="2"/>
    <s v="DEP003"/>
    <s v="Tomatodo Deportivo"/>
    <x v="4"/>
    <x v="5"/>
    <s v="Kevin Vargas"/>
    <n v="1"/>
    <n v="35"/>
    <n v="0.05"/>
    <n v="33.25"/>
    <x v="0"/>
  </r>
  <r>
    <s v="ventas_lima_feb.xlsx"/>
    <x v="51"/>
    <x v="2"/>
    <s v="BEL003"/>
    <s v="Shampoo Nutritivo"/>
    <x v="0"/>
    <x v="4"/>
    <s v="Karina Aguilar"/>
    <n v="3"/>
    <n v="45"/>
    <n v="0"/>
    <n v="135"/>
    <x v="3"/>
  </r>
  <r>
    <s v="ventas_lima_feb.xlsx"/>
    <x v="32"/>
    <x v="2"/>
    <s v="BEL002"/>
    <s v="Crema Facial"/>
    <x v="0"/>
    <x v="4"/>
    <s v="Fiorella Díaz"/>
    <n v="3"/>
    <n v="60"/>
    <n v="0.1"/>
    <n v="162"/>
    <x v="0"/>
  </r>
  <r>
    <s v="ventas_lima_feb.xlsx"/>
    <x v="37"/>
    <x v="2"/>
    <s v="BEL001"/>
    <s v="Perfume Floral"/>
    <x v="0"/>
    <x v="5"/>
    <s v="Camila Paredes"/>
    <n v="4"/>
    <n v="170"/>
    <n v="0"/>
    <n v="680"/>
    <x v="3"/>
  </r>
  <r>
    <s v="ventas_lima_feb.xlsx"/>
    <x v="55"/>
    <x v="2"/>
    <s v="TEC001"/>
    <s v="Laptop Lenovo"/>
    <x v="1"/>
    <x v="5"/>
    <s v="Alessandra Peña"/>
    <n v="1"/>
    <n v="2800"/>
    <n v="0"/>
    <n v="2800"/>
    <x v="0"/>
  </r>
  <r>
    <s v="ventas_lima_feb.xlsx"/>
    <x v="88"/>
    <x v="2"/>
    <s v="MOD001"/>
    <s v="Casaca Denim"/>
    <x v="3"/>
    <x v="4"/>
    <s v="Paola Arias"/>
    <n v="4"/>
    <n v="160"/>
    <n v="0"/>
    <n v="640"/>
    <x v="0"/>
  </r>
  <r>
    <s v="ventas_lima_feb.xlsx"/>
    <x v="36"/>
    <x v="2"/>
    <s v="BEL001"/>
    <s v="Perfume Floral"/>
    <x v="0"/>
    <x v="4"/>
    <s v="Sofía Navarro"/>
    <n v="5"/>
    <n v="170"/>
    <n v="0"/>
    <n v="850"/>
    <x v="0"/>
  </r>
  <r>
    <s v="ventas_lima_feb.xlsx"/>
    <x v="35"/>
    <x v="2"/>
    <s v="HOG002"/>
    <s v="Juego de Sábanas"/>
    <x v="2"/>
    <x v="5"/>
    <s v="Alessandra Peña"/>
    <n v="5"/>
    <n v="120"/>
    <n v="0"/>
    <n v="600"/>
    <x v="1"/>
  </r>
  <r>
    <s v="ventas_lima_feb.xlsx"/>
    <x v="35"/>
    <x v="2"/>
    <s v="TEC001"/>
    <s v="Laptop Lenovo"/>
    <x v="1"/>
    <x v="4"/>
    <s v="Ana Torres"/>
    <n v="4"/>
    <n v="2800"/>
    <n v="0"/>
    <n v="11200"/>
    <x v="3"/>
  </r>
  <r>
    <s v="ventas_lima_feb.xlsx"/>
    <x v="49"/>
    <x v="2"/>
    <s v="TEC003"/>
    <s v="Audífonos JBL"/>
    <x v="1"/>
    <x v="4"/>
    <s v="Alessandra Peña"/>
    <n v="2"/>
    <n v="220"/>
    <n v="0.1"/>
    <n v="396"/>
    <x v="0"/>
  </r>
  <r>
    <s v="ventas_lima_feb.xlsx"/>
    <x v="42"/>
    <x v="2"/>
    <s v="TEC002"/>
    <s v="Mouse Logitech"/>
    <x v="1"/>
    <x v="4"/>
    <s v="Daniela Rivas"/>
    <n v="3"/>
    <n v="75"/>
    <n v="0"/>
    <n v="225"/>
    <x v="0"/>
  </r>
  <r>
    <s v="ventas_lima_feb.xlsx"/>
    <x v="33"/>
    <x v="2"/>
    <s v="DEP002"/>
    <s v="Mat de Yoga"/>
    <x v="4"/>
    <x v="4"/>
    <s v="Cliente no registrado"/>
    <n v="2"/>
    <n v="85"/>
    <n v="0"/>
    <n v="170"/>
    <x v="3"/>
  </r>
  <r>
    <s v="ventas_lima_feb.xlsx"/>
    <x v="31"/>
    <x v="2"/>
    <s v="TEC002"/>
    <s v="Mouse Logitech"/>
    <x v="1"/>
    <x v="5"/>
    <s v="Cliente no registrado"/>
    <n v="5"/>
    <n v="75"/>
    <n v="0"/>
    <n v="375"/>
    <x v="0"/>
  </r>
  <r>
    <s v="ventas_lima_feb.xlsx"/>
    <x v="43"/>
    <x v="2"/>
    <s v="BEL001"/>
    <s v="Perfume Floral"/>
    <x v="0"/>
    <x v="4"/>
    <s v="María López"/>
    <n v="4"/>
    <n v="170"/>
    <n v="0.05"/>
    <n v="646"/>
    <x v="1"/>
  </r>
  <r>
    <s v="ventas_lima_feb.xlsx"/>
    <x v="32"/>
    <x v="2"/>
    <s v="TEC002"/>
    <s v="Mouse Logitech"/>
    <x v="1"/>
    <x v="5"/>
    <s v="Karina Aguilar"/>
    <n v="3"/>
    <n v="75"/>
    <n v="0.1"/>
    <n v="202.5"/>
    <x v="2"/>
  </r>
  <r>
    <s v="ventas_lima_feb.xlsx"/>
    <x v="37"/>
    <x v="2"/>
    <s v="DEP001"/>
    <s v="Mancuernas 5kg"/>
    <x v="4"/>
    <x v="4"/>
    <s v="Kevin Vargas"/>
    <n v="2"/>
    <n v="140"/>
    <n v="0"/>
    <n v="280"/>
    <x v="3"/>
  </r>
  <r>
    <s v="ventas_lima_feb.xlsx"/>
    <x v="32"/>
    <x v="2"/>
    <s v="HOG003"/>
    <s v="Sartén Antiadherente"/>
    <x v="2"/>
    <x v="5"/>
    <s v="Paola Arias"/>
    <n v="2"/>
    <n v="95"/>
    <n v="0.05"/>
    <n v="180.5"/>
    <x v="2"/>
  </r>
  <r>
    <s v="ventas_lima_feb.xlsx"/>
    <x v="41"/>
    <x v="2"/>
    <s v="TEC002"/>
    <s v="Mouse Logitech"/>
    <x v="1"/>
    <x v="5"/>
    <s v="Fernando Ruiz"/>
    <n v="1"/>
    <n v="75"/>
    <n v="0"/>
    <n v="75"/>
    <x v="0"/>
  </r>
  <r>
    <s v="ventas_lima_feb.xlsx"/>
    <x v="33"/>
    <x v="2"/>
    <s v="DEP003"/>
    <s v="Tomatodo Deportivo"/>
    <x v="4"/>
    <x v="4"/>
    <s v="Marco Espinoza"/>
    <n v="2"/>
    <n v="35"/>
    <n v="0"/>
    <n v="70"/>
    <x v="0"/>
  </r>
  <r>
    <s v="ventas_lima_feb.xlsx"/>
    <x v="31"/>
    <x v="2"/>
    <s v="DEP003"/>
    <s v="Tomatodo Deportivo"/>
    <x v="4"/>
    <x v="5"/>
    <s v="Marco Espinoza"/>
    <n v="1"/>
    <n v="35"/>
    <n v="0.1"/>
    <n v="31.5"/>
    <x v="2"/>
  </r>
  <r>
    <s v="ventas_lima_feb.xlsx"/>
    <x v="56"/>
    <x v="2"/>
    <s v="DEP002"/>
    <s v="Mat de Yoga"/>
    <x v="4"/>
    <x v="4"/>
    <s v="Jorge Castillo"/>
    <n v="3"/>
    <n v="85"/>
    <n v="0.05"/>
    <n v="242.25"/>
    <x v="2"/>
  </r>
  <r>
    <s v="ventas_lima_feb.xlsx"/>
    <x v="88"/>
    <x v="2"/>
    <s v="MOD002"/>
    <s v="Zapatillas Urbanas"/>
    <x v="3"/>
    <x v="5"/>
    <s v="Rosa Mendoza"/>
    <n v="5"/>
    <n v="210"/>
    <n v="0"/>
    <n v="1050"/>
    <x v="3"/>
  </r>
  <r>
    <s v="ventas_lima_feb.xlsx"/>
    <x v="52"/>
    <x v="2"/>
    <s v="BEL001"/>
    <s v="Perfume Floral"/>
    <x v="0"/>
    <x v="4"/>
    <s v="Karina Aguilar"/>
    <n v="5"/>
    <n v="170"/>
    <n v="0"/>
    <n v="850"/>
    <x v="1"/>
  </r>
  <r>
    <s v="ventas_lima_feb.xlsx"/>
    <x v="54"/>
    <x v="2"/>
    <s v="TEC001"/>
    <s v="Laptop Lenovo"/>
    <x v="1"/>
    <x v="4"/>
    <s v="Andrés Romero"/>
    <n v="1"/>
    <n v="2800"/>
    <n v="0"/>
    <n v="2800"/>
    <x v="3"/>
  </r>
  <r>
    <s v="ventas_lima_feb.xlsx"/>
    <x v="36"/>
    <x v="2"/>
    <s v="MOD002"/>
    <s v="Zapatillas Urbanas"/>
    <x v="3"/>
    <x v="5"/>
    <s v="Julio Campos"/>
    <n v="5"/>
    <n v="210"/>
    <n v="0.05"/>
    <n v="997.5"/>
    <x v="2"/>
  </r>
  <r>
    <s v="ventas_lima_feb.xlsx"/>
    <x v="54"/>
    <x v="2"/>
    <s v="HOG001"/>
    <s v="Licuadora Oster"/>
    <x v="2"/>
    <x v="4"/>
    <s v="Camila Paredes"/>
    <n v="3"/>
    <n v="180"/>
    <n v="0"/>
    <n v="540"/>
    <x v="1"/>
  </r>
  <r>
    <s v="ventas_lima_feb.xlsx"/>
    <x v="35"/>
    <x v="2"/>
    <s v="HOG002"/>
    <s v="Juego de Sábanas"/>
    <x v="2"/>
    <x v="4"/>
    <s v="María López"/>
    <n v="4"/>
    <n v="120"/>
    <n v="0.05"/>
    <n v="456"/>
    <x v="3"/>
  </r>
  <r>
    <s v="ventas_lima_feb.xlsx"/>
    <x v="49"/>
    <x v="2"/>
    <s v="TEC002"/>
    <s v="Mouse Logitech"/>
    <x v="1"/>
    <x v="4"/>
    <s v="Fiorella Díaz"/>
    <n v="5"/>
    <n v="75"/>
    <n v="0.05"/>
    <n v="356.25"/>
    <x v="2"/>
  </r>
  <r>
    <s v="ventas_lima_feb.xlsx"/>
    <x v="42"/>
    <x v="2"/>
    <s v="DEP002"/>
    <s v="Mat de Yoga"/>
    <x v="4"/>
    <x v="5"/>
    <s v="Rosa Mendoza"/>
    <n v="2"/>
    <n v="85"/>
    <n v="0"/>
    <n v="170"/>
    <x v="0"/>
  </r>
  <r>
    <s v="ventas_lima_feb.xlsx"/>
    <x v="88"/>
    <x v="2"/>
    <s v="DEP002"/>
    <s v="Mat de Yoga"/>
    <x v="4"/>
    <x v="5"/>
    <s v="Diana Salas"/>
    <n v="1"/>
    <n v="85"/>
    <n v="0.05"/>
    <n v="80.75"/>
    <x v="1"/>
  </r>
  <r>
    <s v="ventas_lima_feb.xlsx"/>
    <x v="43"/>
    <x v="2"/>
    <s v="HOG001"/>
    <s v="Licuadora Oster"/>
    <x v="2"/>
    <x v="5"/>
    <s v="Carlos Rojas"/>
    <n v="5"/>
    <n v="180"/>
    <n v="0.05"/>
    <n v="855"/>
    <x v="3"/>
  </r>
  <r>
    <s v="ventas_lima_feb.xlsx"/>
    <x v="51"/>
    <x v="2"/>
    <s v="BEL001"/>
    <s v="Perfume Floral"/>
    <x v="0"/>
    <x v="4"/>
    <s v="César Salcedo"/>
    <n v="2"/>
    <n v="170"/>
    <n v="0"/>
    <n v="340"/>
    <x v="1"/>
  </r>
  <r>
    <s v="ventas_lima_feb.xlsx"/>
    <x v="35"/>
    <x v="2"/>
    <s v="TEC003"/>
    <s v="Audífonos JBL"/>
    <x v="1"/>
    <x v="4"/>
    <s v="Iván Soto"/>
    <n v="5"/>
    <n v="220"/>
    <n v="0"/>
    <n v="1100"/>
    <x v="0"/>
  </r>
  <r>
    <s v="ventas_lima_feb.xlsx"/>
    <x v="35"/>
    <x v="2"/>
    <s v="HOG003"/>
    <s v="Sartén Antiadherente"/>
    <x v="2"/>
    <x v="4"/>
    <s v="Omar Cárdenas"/>
    <n v="2"/>
    <n v="95"/>
    <n v="0"/>
    <n v="190"/>
    <x v="3"/>
  </r>
  <r>
    <s v="ventas_lima_feb.xlsx"/>
    <x v="55"/>
    <x v="2"/>
    <s v="TEC003"/>
    <s v="Audífonos JBL"/>
    <x v="1"/>
    <x v="5"/>
    <s v="María López"/>
    <n v="2"/>
    <n v="220"/>
    <n v="0"/>
    <n v="440"/>
    <x v="0"/>
  </r>
  <r>
    <s v="ventas_lima_feb.xlsx"/>
    <x v="56"/>
    <x v="2"/>
    <s v="TEC002"/>
    <s v="Mouse Logitech"/>
    <x v="1"/>
    <x v="4"/>
    <s v="María López"/>
    <n v="1"/>
    <n v="75"/>
    <n v="0"/>
    <n v="75"/>
    <x v="3"/>
  </r>
  <r>
    <s v="ventas_lima_feb.xlsx"/>
    <x v="52"/>
    <x v="2"/>
    <s v="BEL001"/>
    <s v="Perfume Floral"/>
    <x v="0"/>
    <x v="5"/>
    <s v="Cliente no registrado"/>
    <n v="3"/>
    <n v="170"/>
    <n v="0"/>
    <n v="510"/>
    <x v="2"/>
  </r>
  <r>
    <s v="ventas_lima_feb.xlsx"/>
    <x v="39"/>
    <x v="2"/>
    <s v="HOG002"/>
    <s v="Juego de Sábanas"/>
    <x v="2"/>
    <x v="5"/>
    <s v="Iván Soto"/>
    <n v="3"/>
    <n v="120"/>
    <n v="0.05"/>
    <n v="342"/>
    <x v="2"/>
  </r>
  <r>
    <s v="ventas_lima_mar.xlsx"/>
    <x v="59"/>
    <x v="2"/>
    <s v="MOD003"/>
    <s v="Polo Básico"/>
    <x v="3"/>
    <x v="4"/>
    <s v="Diana Salas"/>
    <n v="5"/>
    <n v="55"/>
    <n v="0"/>
    <n v="275"/>
    <x v="0"/>
  </r>
  <r>
    <s v="ventas_lima_mar.xlsx"/>
    <x v="69"/>
    <x v="2"/>
    <s v="DEP001"/>
    <s v="Mancuernas 5kg"/>
    <x v="4"/>
    <x v="4"/>
    <s v="Karina Aguilar"/>
    <n v="4"/>
    <n v="140"/>
    <n v="0.05"/>
    <n v="532"/>
    <x v="3"/>
  </r>
  <r>
    <s v="ventas_lima_mar.xlsx"/>
    <x v="86"/>
    <x v="2"/>
    <s v="DEP001"/>
    <s v="Mancuernas 5kg"/>
    <x v="4"/>
    <x v="4"/>
    <s v="Camila Paredes"/>
    <n v="5"/>
    <n v="140"/>
    <n v="0.1"/>
    <n v="630"/>
    <x v="2"/>
  </r>
  <r>
    <s v="ventas_lima_mar.xlsx"/>
    <x v="75"/>
    <x v="2"/>
    <s v="DEP001"/>
    <s v="Mancuernas 5kg"/>
    <x v="4"/>
    <x v="5"/>
    <s v="Ana Torres"/>
    <n v="2"/>
    <n v="140"/>
    <n v="0.1"/>
    <n v="252"/>
    <x v="0"/>
  </r>
  <r>
    <s v="ventas_lima_mar.xlsx"/>
    <x v="89"/>
    <x v="2"/>
    <s v="HOG001"/>
    <s v="Licuadora Oster"/>
    <x v="2"/>
    <x v="5"/>
    <s v="Omar Cárdenas"/>
    <n v="1"/>
    <n v="180"/>
    <n v="0"/>
    <n v="180"/>
    <x v="2"/>
  </r>
  <r>
    <s v="ventas_lima_mar.xlsx"/>
    <x v="76"/>
    <x v="2"/>
    <s v="MOD001"/>
    <s v="Casaca Denim"/>
    <x v="3"/>
    <x v="5"/>
    <s v="Bruno Medina"/>
    <n v="3"/>
    <n v="160"/>
    <n v="0"/>
    <n v="480"/>
    <x v="2"/>
  </r>
  <r>
    <s v="ventas_lima_mar.xlsx"/>
    <x v="85"/>
    <x v="2"/>
    <s v="MOD002"/>
    <s v="Zapatillas Urbanas"/>
    <x v="3"/>
    <x v="5"/>
    <s v="Lucía Pérez"/>
    <n v="2"/>
    <n v="210"/>
    <n v="0"/>
    <n v="420"/>
    <x v="2"/>
  </r>
  <r>
    <s v="ventas_lima_mar.xlsx"/>
    <x v="70"/>
    <x v="2"/>
    <s v="BEL001"/>
    <s v="Perfume Floral"/>
    <x v="0"/>
    <x v="4"/>
    <s v="César Salcedo"/>
    <n v="3"/>
    <n v="170"/>
    <n v="0"/>
    <n v="510"/>
    <x v="3"/>
  </r>
  <r>
    <s v="ventas_lima_mar.xlsx"/>
    <x v="58"/>
    <x v="2"/>
    <s v="MOD003"/>
    <s v="Polo Básico"/>
    <x v="3"/>
    <x v="5"/>
    <s v="Sofía Navarro"/>
    <n v="5"/>
    <n v="55"/>
    <n v="0.15"/>
    <n v="233.75"/>
    <x v="3"/>
  </r>
  <r>
    <s v="ventas_lima_mar.xlsx"/>
    <x v="86"/>
    <x v="2"/>
    <s v="BEL002"/>
    <s v="Crema Facial"/>
    <x v="0"/>
    <x v="4"/>
    <s v="Omar Cárdenas"/>
    <n v="5"/>
    <n v="60"/>
    <n v="0.1"/>
    <n v="270"/>
    <x v="0"/>
  </r>
  <r>
    <s v="ventas_lima_mar.xlsx"/>
    <x v="83"/>
    <x v="2"/>
    <s v="HOG003"/>
    <s v="Sartén Antiadherente"/>
    <x v="2"/>
    <x v="5"/>
    <s v="Julio Campos"/>
    <n v="5"/>
    <n v="95"/>
    <n v="0"/>
    <n v="475"/>
    <x v="1"/>
  </r>
  <r>
    <s v="ventas_lima_mar.xlsx"/>
    <x v="69"/>
    <x v="2"/>
    <s v="MOD002"/>
    <s v="Zapatillas Urbanas"/>
    <x v="3"/>
    <x v="4"/>
    <s v="Jorge Castillo"/>
    <n v="4"/>
    <n v="210"/>
    <n v="0.1"/>
    <n v="756"/>
    <x v="3"/>
  </r>
  <r>
    <s v="ventas_lima_mar.xlsx"/>
    <x v="74"/>
    <x v="2"/>
    <s v="HOG002"/>
    <s v="Juego de Sábanas"/>
    <x v="2"/>
    <x v="5"/>
    <s v="Sofía Navarro"/>
    <n v="1"/>
    <n v="120"/>
    <n v="0"/>
    <n v="120"/>
    <x v="0"/>
  </r>
  <r>
    <s v="ventas_lima_mar.xlsx"/>
    <x v="72"/>
    <x v="2"/>
    <s v="MOD003"/>
    <s v="Polo Básico"/>
    <x v="3"/>
    <x v="4"/>
    <s v="Marco Espinoza"/>
    <n v="3"/>
    <n v="55"/>
    <n v="0"/>
    <n v="165"/>
    <x v="0"/>
  </r>
  <r>
    <s v="ventas_lima_mar.xlsx"/>
    <x v="75"/>
    <x v="2"/>
    <s v="HOG003"/>
    <s v="Sartén Antiadherente"/>
    <x v="2"/>
    <x v="5"/>
    <s v="Camila Paredes"/>
    <n v="4"/>
    <n v="95"/>
    <n v="0"/>
    <n v="380"/>
    <x v="0"/>
  </r>
  <r>
    <s v="ventas_lima_mar.xlsx"/>
    <x v="76"/>
    <x v="2"/>
    <s v="MOD001"/>
    <s v="Casaca Denim"/>
    <x v="3"/>
    <x v="4"/>
    <s v="Bruno Medina"/>
    <n v="5"/>
    <n v="160"/>
    <n v="0"/>
    <n v="800"/>
    <x v="0"/>
  </r>
  <r>
    <s v="ventas_lima_mar.xlsx"/>
    <x v="61"/>
    <x v="2"/>
    <s v="DEP003"/>
    <s v="Tomatodo Deportivo"/>
    <x v="4"/>
    <x v="4"/>
    <s v="Bruno Medina"/>
    <n v="5"/>
    <n v="35"/>
    <n v="0"/>
    <n v="175"/>
    <x v="2"/>
  </r>
  <r>
    <s v="ventas_lima_mar.xlsx"/>
    <x v="86"/>
    <x v="2"/>
    <s v="MOD001"/>
    <s v="Casaca Denim"/>
    <x v="3"/>
    <x v="4"/>
    <s v="Javier Núñez"/>
    <n v="1"/>
    <n v="160"/>
    <n v="0"/>
    <n v="160"/>
    <x v="0"/>
  </r>
  <r>
    <s v="ventas_lima_mar.xlsx"/>
    <x v="58"/>
    <x v="2"/>
    <s v="DEP003"/>
    <s v="Tomatodo Deportivo"/>
    <x v="4"/>
    <x v="4"/>
    <s v="Fiorella Díaz"/>
    <n v="3"/>
    <n v="35"/>
    <n v="0"/>
    <n v="105"/>
    <x v="2"/>
  </r>
  <r>
    <s v="ventas_lima_mar.xlsx"/>
    <x v="82"/>
    <x v="2"/>
    <s v="TEC001"/>
    <s v="Laptop Lenovo"/>
    <x v="1"/>
    <x v="4"/>
    <s v="Sofía Navarro"/>
    <n v="3"/>
    <n v="2800"/>
    <n v="0"/>
    <n v="8400"/>
    <x v="0"/>
  </r>
  <r>
    <s v="ventas_lima_mar.xlsx"/>
    <x v="67"/>
    <x v="2"/>
    <s v="HOG003"/>
    <s v="Sartén Antiadherente"/>
    <x v="2"/>
    <x v="5"/>
    <s v="Fernando Ruiz"/>
    <n v="5"/>
    <n v="95"/>
    <n v="0.05"/>
    <n v="451.25"/>
    <x v="1"/>
  </r>
  <r>
    <s v="ventas_lima_mar.xlsx"/>
    <x v="76"/>
    <x v="2"/>
    <s v="HOG003"/>
    <s v="Sartén Antiadherente"/>
    <x v="2"/>
    <x v="4"/>
    <s v="Pedro Chávez"/>
    <n v="5"/>
    <n v="95"/>
    <n v="0"/>
    <n v="475"/>
    <x v="0"/>
  </r>
  <r>
    <s v="ventas_lima_mar.xlsx"/>
    <x v="89"/>
    <x v="2"/>
    <s v="HOG002"/>
    <s v="Juego de Sábanas"/>
    <x v="2"/>
    <x v="5"/>
    <s v="Camila Paredes"/>
    <n v="5"/>
    <n v="120"/>
    <n v="0"/>
    <n v="600"/>
    <x v="0"/>
  </r>
  <r>
    <s v="ventas_lima_mar.xlsx"/>
    <x v="82"/>
    <x v="2"/>
    <s v="MOD001"/>
    <s v="Casaca Denim"/>
    <x v="3"/>
    <x v="5"/>
    <s v="Marco Espinoza"/>
    <n v="2"/>
    <n v="160"/>
    <n v="0.1"/>
    <n v="288"/>
    <x v="3"/>
  </r>
  <r>
    <s v="ventas_lima_mar.xlsx"/>
    <x v="68"/>
    <x v="2"/>
    <s v="BEL001"/>
    <s v="Perfume Floral"/>
    <x v="0"/>
    <x v="4"/>
    <s v="Daniela Rivas"/>
    <n v="1"/>
    <n v="170"/>
    <n v="0"/>
    <n v="170"/>
    <x v="0"/>
  </r>
  <r>
    <s v="ventas_lima_mar.xlsx"/>
    <x v="72"/>
    <x v="2"/>
    <s v="DEP002"/>
    <s v="Mat de Yoga"/>
    <x v="4"/>
    <x v="5"/>
    <s v="Miguel Herrera"/>
    <n v="5"/>
    <n v="85"/>
    <n v="0.05"/>
    <n v="403.75"/>
    <x v="3"/>
  </r>
  <r>
    <s v="ventas_lima_mar.xlsx"/>
    <x v="77"/>
    <x v="2"/>
    <s v="MOD001"/>
    <s v="Casaca Denim"/>
    <x v="3"/>
    <x v="4"/>
    <s v="Bruno Medina"/>
    <n v="2"/>
    <n v="160"/>
    <n v="0.1"/>
    <n v="288"/>
    <x v="1"/>
  </r>
  <r>
    <s v="ventas_lima_mar.xlsx"/>
    <x v="71"/>
    <x v="2"/>
    <s v="TEC003"/>
    <s v="Audífonos JBL"/>
    <x v="1"/>
    <x v="5"/>
    <s v="Ana Torres"/>
    <n v="4"/>
    <n v="220"/>
    <n v="0"/>
    <n v="880"/>
    <x v="3"/>
  </r>
  <r>
    <s v="ventas_lima_mar.xlsx"/>
    <x v="73"/>
    <x v="2"/>
    <s v="MOD002"/>
    <s v="Zapatillas Urbanas"/>
    <x v="3"/>
    <x v="4"/>
    <s v="Omar Cárdenas"/>
    <n v="1"/>
    <n v="210"/>
    <n v="0"/>
    <n v="210"/>
    <x v="3"/>
  </r>
  <r>
    <s v="ventas_lima_mar.xlsx"/>
    <x v="84"/>
    <x v="2"/>
    <s v="HOG002"/>
    <s v="Juego de Sábanas"/>
    <x v="2"/>
    <x v="4"/>
    <s v="Mónica Palomino"/>
    <n v="2"/>
    <n v="120"/>
    <n v="0.05"/>
    <n v="228"/>
    <x v="2"/>
  </r>
  <r>
    <s v="ventas_lima_mar.xlsx"/>
    <x v="68"/>
    <x v="2"/>
    <s v="TEC001"/>
    <s v="Laptop Lenovo"/>
    <x v="1"/>
    <x v="5"/>
    <s v="Javier Núñez"/>
    <n v="3"/>
    <n v="2800"/>
    <n v="0.1"/>
    <n v="7560"/>
    <x v="0"/>
  </r>
  <r>
    <s v="ventas_lima_mar.xlsx"/>
    <x v="65"/>
    <x v="2"/>
    <s v="MOD002"/>
    <s v="Zapatillas Urbanas"/>
    <x v="3"/>
    <x v="4"/>
    <s v="Paola Arias"/>
    <n v="2"/>
    <n v="210"/>
    <n v="0.15"/>
    <n v="357"/>
    <x v="3"/>
  </r>
  <r>
    <s v="ventas_lima_mar.xlsx"/>
    <x v="80"/>
    <x v="2"/>
    <s v="MOD002"/>
    <s v="Zapatillas Urbanas"/>
    <x v="3"/>
    <x v="5"/>
    <s v="Andrés Romero"/>
    <n v="5"/>
    <n v="210"/>
    <n v="0"/>
    <n v="1050"/>
    <x v="1"/>
  </r>
  <r>
    <s v="ventas_lima_mar.xlsx"/>
    <x v="77"/>
    <x v="2"/>
    <s v="MOD001"/>
    <s v="Casaca Denim"/>
    <x v="3"/>
    <x v="5"/>
    <s v="Cliente no registrado"/>
    <n v="3"/>
    <n v="160"/>
    <n v="0"/>
    <n v="480"/>
    <x v="2"/>
  </r>
  <r>
    <s v="ventas_lima_mar.xlsx"/>
    <x v="65"/>
    <x v="2"/>
    <s v="HOG002"/>
    <s v="Juego de Sábanas"/>
    <x v="2"/>
    <x v="5"/>
    <s v="Iván Soto"/>
    <n v="4"/>
    <n v="120"/>
    <n v="0"/>
    <n v="480"/>
    <x v="0"/>
  </r>
  <r>
    <s v="ventas_lima_mar.xlsx"/>
    <x v="73"/>
    <x v="2"/>
    <s v="TEC001"/>
    <s v="Laptop Lenovo"/>
    <x v="1"/>
    <x v="4"/>
    <s v="Julio Campos"/>
    <n v="4"/>
    <n v="2800"/>
    <n v="0.05"/>
    <n v="10640"/>
    <x v="0"/>
  </r>
  <r>
    <s v="ventas_lima_mar.xlsx"/>
    <x v="85"/>
    <x v="2"/>
    <s v="TEC003"/>
    <s v="Audífonos JBL"/>
    <x v="1"/>
    <x v="4"/>
    <s v="Daniela Rivas"/>
    <n v="5"/>
    <n v="220"/>
    <n v="0"/>
    <n v="1100"/>
    <x v="3"/>
  </r>
  <r>
    <s v="ventas_lima_mar.xlsx"/>
    <x v="75"/>
    <x v="2"/>
    <s v="BEL001"/>
    <s v="Perfume Floral"/>
    <x v="0"/>
    <x v="4"/>
    <s v="Andrés Romero"/>
    <n v="2"/>
    <n v="170"/>
    <n v="0"/>
    <n v="340"/>
    <x v="0"/>
  </r>
  <r>
    <s v="ventas_lima_mar.xlsx"/>
    <x v="75"/>
    <x v="2"/>
    <s v="HOG001"/>
    <s v="Licuadora Oster"/>
    <x v="2"/>
    <x v="4"/>
    <s v="Kevin Vargas"/>
    <n v="5"/>
    <n v="180"/>
    <n v="0.1"/>
    <n v="810"/>
    <x v="2"/>
  </r>
  <r>
    <s v="ventas_lima_mar.xlsx"/>
    <x v="72"/>
    <x v="2"/>
    <s v="HOG002"/>
    <s v="Juego de Sábanas"/>
    <x v="2"/>
    <x v="5"/>
    <s v="Ana Torres"/>
    <n v="4"/>
    <n v="120"/>
    <n v="0.05"/>
    <n v="456"/>
    <x v="2"/>
  </r>
  <r>
    <s v="ventas_lima_mar.xlsx"/>
    <x v="70"/>
    <x v="2"/>
    <s v="TEC001"/>
    <s v="Laptop Lenovo"/>
    <x v="1"/>
    <x v="5"/>
    <s v="Fiorella Díaz"/>
    <n v="5"/>
    <n v="2800"/>
    <n v="0"/>
    <n v="14000"/>
    <x v="3"/>
  </r>
  <r>
    <s v="ventas_lima_mar.xlsx"/>
    <x v="62"/>
    <x v="2"/>
    <s v="DEP002"/>
    <s v="Mat de Yoga"/>
    <x v="4"/>
    <x v="5"/>
    <s v="Fernando Ruiz"/>
    <n v="2"/>
    <n v="85"/>
    <n v="0"/>
    <n v="170"/>
    <x v="0"/>
  </r>
  <r>
    <s v="ventas_lima_mar.xlsx"/>
    <x v="84"/>
    <x v="2"/>
    <s v="DEP003"/>
    <s v="Tomatodo Deportivo"/>
    <x v="4"/>
    <x v="4"/>
    <s v="Mónica Palomino"/>
    <n v="4"/>
    <n v="35"/>
    <n v="0.15"/>
    <n v="119"/>
    <x v="2"/>
  </r>
  <r>
    <s v="ventas_lima_mar.xlsx"/>
    <x v="86"/>
    <x v="2"/>
    <s v="TEC001"/>
    <s v="Laptop Lenovo"/>
    <x v="1"/>
    <x v="4"/>
    <s v="Mónica Palomino"/>
    <n v="4"/>
    <n v="2800"/>
    <n v="0"/>
    <n v="11200"/>
    <x v="0"/>
  </r>
  <r>
    <s v="ventas_lima_mar.xlsx"/>
    <x v="69"/>
    <x v="2"/>
    <s v="BEL001"/>
    <s v="Perfume Floral"/>
    <x v="0"/>
    <x v="4"/>
    <s v="Paola Arias"/>
    <n v="1"/>
    <n v="170"/>
    <n v="0"/>
    <n v="170"/>
    <x v="2"/>
  </r>
  <r>
    <s v="ventas_lima_mar.xlsx"/>
    <x v="89"/>
    <x v="2"/>
    <s v="DEP002"/>
    <s v="Mat de Yoga"/>
    <x v="4"/>
    <x v="4"/>
    <s v="Lucía Pérez"/>
    <n v="1"/>
    <n v="85"/>
    <n v="0"/>
    <n v="85"/>
    <x v="3"/>
  </r>
  <r>
    <s v="ventas_lima_mar.xlsx"/>
    <x v="66"/>
    <x v="2"/>
    <s v="HOG003"/>
    <s v="Sartén Antiadherente"/>
    <x v="2"/>
    <x v="4"/>
    <s v="Julio Campos"/>
    <n v="3"/>
    <n v="95"/>
    <n v="0.1"/>
    <n v="256.5"/>
    <x v="1"/>
  </r>
  <r>
    <s v="ventas_lima_mar.xlsx"/>
    <x v="60"/>
    <x v="2"/>
    <s v="HOG001"/>
    <s v="Licuadora Oster"/>
    <x v="2"/>
    <x v="4"/>
    <s v="Lucía Pérez"/>
    <n v="3"/>
    <n v="180"/>
    <n v="0"/>
    <n v="540"/>
    <x v="1"/>
  </r>
  <r>
    <s v="ventas_lima_mar.xlsx"/>
    <x v="66"/>
    <x v="2"/>
    <s v="HOG001"/>
    <s v="Licuadora Oster"/>
    <x v="2"/>
    <x v="5"/>
    <s v="Camila Paredes"/>
    <n v="4"/>
    <n v="180"/>
    <n v="0"/>
    <n v="720"/>
    <x v="2"/>
  </r>
  <r>
    <s v="ventas_lima_mar.xlsx"/>
    <x v="65"/>
    <x v="2"/>
    <s v="TEC001"/>
    <s v="Laptop Lenovo"/>
    <x v="1"/>
    <x v="5"/>
    <s v="Rosa Mendoza"/>
    <n v="1"/>
    <n v="2800"/>
    <n v="0.05"/>
    <n v="2660"/>
    <x v="0"/>
  </r>
  <r>
    <s v="ventas_lima_mar.xlsx"/>
    <x v="71"/>
    <x v="2"/>
    <s v="DEP003"/>
    <s v="Tomatodo Deportivo"/>
    <x v="4"/>
    <x v="5"/>
    <s v="Karina Aguilar"/>
    <n v="2"/>
    <n v="35"/>
    <n v="0"/>
    <n v="70"/>
    <x v="1"/>
  </r>
  <r>
    <s v="ventas_lima_mar.xlsx"/>
    <x v="67"/>
    <x v="2"/>
    <s v="TEC001"/>
    <s v="Laptop Lenovo"/>
    <x v="1"/>
    <x v="4"/>
    <s v="Renato Flores"/>
    <n v="2"/>
    <n v="2800"/>
    <n v="0.05"/>
    <n v="5320"/>
    <x v="0"/>
  </r>
  <r>
    <s v="ventas_lima_mar.xlsx"/>
    <x v="84"/>
    <x v="2"/>
    <s v="BEL003"/>
    <s v="Shampoo Nutritivo"/>
    <x v="0"/>
    <x v="4"/>
    <s v="Cliente no registrado"/>
    <n v="3"/>
    <n v="45"/>
    <n v="0.1"/>
    <n v="121.5"/>
    <x v="3"/>
  </r>
  <r>
    <s v="ventas_lima_mar.xlsx"/>
    <x v="64"/>
    <x v="2"/>
    <s v="HOG003"/>
    <s v="Sartén Antiadherente"/>
    <x v="2"/>
    <x v="5"/>
    <s v="Julio Campos"/>
    <n v="2"/>
    <n v="95"/>
    <n v="0"/>
    <n v="190"/>
    <x v="0"/>
  </r>
  <r>
    <s v="ventas_lima_mar.xlsx"/>
    <x v="66"/>
    <x v="2"/>
    <s v="MOD002"/>
    <s v="Zapatillas Urbanas"/>
    <x v="3"/>
    <x v="5"/>
    <s v="Paola Arias"/>
    <n v="4"/>
    <n v="210"/>
    <n v="0"/>
    <n v="840"/>
    <x v="0"/>
  </r>
  <r>
    <s v="ventas_lima_mar.xlsx"/>
    <x v="57"/>
    <x v="2"/>
    <s v="BEL001"/>
    <s v="Perfume Floral"/>
    <x v="0"/>
    <x v="4"/>
    <s v="Rosa Mendoza"/>
    <n v="5"/>
    <n v="170"/>
    <n v="0.1"/>
    <n v="765"/>
    <x v="3"/>
  </r>
  <r>
    <s v="ventas_lima_mar.xlsx"/>
    <x v="84"/>
    <x v="2"/>
    <s v="HOG002"/>
    <s v="Juego de Sábanas"/>
    <x v="2"/>
    <x v="4"/>
    <s v="Gabriela Núñez"/>
    <n v="3"/>
    <n v="120"/>
    <n v="0"/>
    <n v="360"/>
    <x v="3"/>
  </r>
  <r>
    <s v="ventas_lima_mar.xlsx"/>
    <x v="80"/>
    <x v="2"/>
    <s v="DEP002"/>
    <s v="Mat de Yoga"/>
    <x v="4"/>
    <x v="4"/>
    <s v="María López"/>
    <n v="1"/>
    <n v="85"/>
    <n v="0.05"/>
    <n v="80.75"/>
    <x v="3"/>
  </r>
  <r>
    <s v="ventas_lima_mar.xlsx"/>
    <x v="77"/>
    <x v="2"/>
    <s v="TEC003"/>
    <s v="Audífonos JBL"/>
    <x v="1"/>
    <x v="5"/>
    <s v="Daniela Rivas"/>
    <n v="4"/>
    <n v="220"/>
    <n v="0.05"/>
    <n v="836"/>
    <x v="0"/>
  </r>
  <r>
    <s v="ventas_lima_mar.xlsx"/>
    <x v="64"/>
    <x v="2"/>
    <s v="TEC002"/>
    <s v="Mouse Logitech"/>
    <x v="1"/>
    <x v="4"/>
    <s v="Carlos Rojas"/>
    <n v="5"/>
    <n v="75"/>
    <n v="0.05"/>
    <n v="356.25"/>
    <x v="2"/>
  </r>
  <r>
    <s v="ventas_lima_mar.xlsx"/>
    <x v="76"/>
    <x v="2"/>
    <s v="TEC002"/>
    <s v="Mouse Logitech"/>
    <x v="1"/>
    <x v="5"/>
    <s v="Gabriela Núñez"/>
    <n v="2"/>
    <n v="75"/>
    <n v="0"/>
    <n v="150"/>
    <x v="0"/>
  </r>
  <r>
    <s v="ventas_lima_mar.xlsx"/>
    <x v="71"/>
    <x v="2"/>
    <s v="TEC001"/>
    <s v="Laptop Lenovo"/>
    <x v="1"/>
    <x v="4"/>
    <s v="Lucía Pérez"/>
    <n v="2"/>
    <n v="2800"/>
    <n v="0.05"/>
    <n v="5320"/>
    <x v="3"/>
  </r>
  <r>
    <s v="ventas_lima_mar.xlsx"/>
    <x v="82"/>
    <x v="2"/>
    <s v="BEL002"/>
    <s v="Crema Facial"/>
    <x v="0"/>
    <x v="4"/>
    <s v="Bruno Medina"/>
    <n v="1"/>
    <n v="60"/>
    <n v="0"/>
    <n v="60"/>
    <x v="3"/>
  </r>
  <r>
    <s v="ventas_lima_mar.xlsx"/>
    <x v="72"/>
    <x v="2"/>
    <s v="BEL001"/>
    <s v="Perfume Floral"/>
    <x v="0"/>
    <x v="4"/>
    <s v="Mónica Palomino"/>
    <n v="1"/>
    <n v="170"/>
    <n v="0.1"/>
    <n v="153"/>
    <x v="0"/>
  </r>
  <r>
    <s v="ventas_lima_mar.xlsx"/>
    <x v="70"/>
    <x v="2"/>
    <s v="TEC002"/>
    <s v="Mouse Logitech"/>
    <x v="1"/>
    <x v="4"/>
    <s v="Julio Campos"/>
    <n v="2"/>
    <n v="75"/>
    <n v="0.15"/>
    <n v="127.5"/>
    <x v="3"/>
  </r>
  <r>
    <s v="ventas_lima_mar.xlsx"/>
    <x v="76"/>
    <x v="2"/>
    <s v="TEC003"/>
    <s v="Audífonos JBL"/>
    <x v="1"/>
    <x v="4"/>
    <s v="Julio Campos"/>
    <n v="5"/>
    <n v="220"/>
    <n v="0.05"/>
    <n v="1045"/>
    <x v="3"/>
  </r>
  <r>
    <s v="ventas_lima_mar.xlsx"/>
    <x v="84"/>
    <x v="2"/>
    <s v="DEP002"/>
    <s v="Mat de Yoga"/>
    <x v="4"/>
    <x v="5"/>
    <s v="Kevin Vargas"/>
    <n v="5"/>
    <n v="85"/>
    <n v="0"/>
    <n v="425"/>
    <x v="2"/>
  </r>
  <r>
    <s v="ventas_lima_mar.xlsx"/>
    <x v="66"/>
    <x v="2"/>
    <s v="MOD002"/>
    <s v="Zapatillas Urbanas"/>
    <x v="3"/>
    <x v="5"/>
    <s v="Alessandra Peña"/>
    <n v="5"/>
    <n v="210"/>
    <n v="0"/>
    <n v="1050"/>
    <x v="0"/>
  </r>
  <r>
    <s v="ventas_lima_mar.xlsx"/>
    <x v="75"/>
    <x v="2"/>
    <s v="MOD002"/>
    <s v="Zapatillas Urbanas"/>
    <x v="3"/>
    <x v="5"/>
    <s v="Sofía Navarro"/>
    <n v="3"/>
    <n v="210"/>
    <n v="0.1"/>
    <n v="567"/>
    <x v="2"/>
  </r>
  <r>
    <s v="ventas_lima_mar.xlsx"/>
    <x v="57"/>
    <x v="2"/>
    <s v="MOD003"/>
    <s v="Polo Básico"/>
    <x v="3"/>
    <x v="5"/>
    <s v="Paola Arias"/>
    <n v="2"/>
    <n v="55"/>
    <n v="0"/>
    <n v="110"/>
    <x v="3"/>
  </r>
  <r>
    <s v="ventas_lima_mar.xlsx"/>
    <x v="81"/>
    <x v="2"/>
    <s v="BEL003"/>
    <s v="Shampoo Nutritivo"/>
    <x v="0"/>
    <x v="4"/>
    <s v="Alessandra Peña"/>
    <n v="1"/>
    <n v="45"/>
    <n v="0.05"/>
    <n v="42.75"/>
    <x v="0"/>
  </r>
  <r>
    <s v="ventas_lima_mar.xlsx"/>
    <x v="68"/>
    <x v="2"/>
    <s v="TEC001"/>
    <s v="Laptop Lenovo"/>
    <x v="1"/>
    <x v="4"/>
    <s v="Fiorella Díaz"/>
    <n v="2"/>
    <n v="2800"/>
    <n v="0"/>
    <n v="5600"/>
    <x v="0"/>
  </r>
  <r>
    <s v="ventas_lima_mar.xlsx"/>
    <x v="79"/>
    <x v="2"/>
    <s v="BEL002"/>
    <s v="Crema Facial"/>
    <x v="0"/>
    <x v="4"/>
    <s v="Paola Arias"/>
    <n v="5"/>
    <n v="60"/>
    <n v="0.05"/>
    <n v="285"/>
    <x v="0"/>
  </r>
  <r>
    <s v="ventas_lima_mar.xlsx"/>
    <x v="76"/>
    <x v="2"/>
    <s v="TEC003"/>
    <s v="Audífonos JBL"/>
    <x v="1"/>
    <x v="4"/>
    <s v="Andrés Romero"/>
    <n v="3"/>
    <n v="220"/>
    <n v="0"/>
    <n v="660"/>
    <x v="0"/>
  </r>
  <r>
    <s v="ventas_lima_mar.xlsx"/>
    <x v="74"/>
    <x v="2"/>
    <s v="TEC002"/>
    <s v="Mouse Logitech"/>
    <x v="1"/>
    <x v="4"/>
    <s v="Andrés Romero"/>
    <n v="4"/>
    <n v="75"/>
    <n v="0.05"/>
    <n v="285"/>
    <x v="3"/>
  </r>
  <r>
    <s v="ventas_lima_mar.xlsx"/>
    <x v="70"/>
    <x v="2"/>
    <s v="TEC003"/>
    <s v="Audífonos JBL"/>
    <x v="1"/>
    <x v="5"/>
    <s v="Andrés Romero"/>
    <n v="5"/>
    <n v="220"/>
    <n v="0.1"/>
    <n v="990"/>
    <x v="3"/>
  </r>
  <r>
    <s v="ventas_lima_mar.xlsx"/>
    <x v="68"/>
    <x v="2"/>
    <s v="TEC002"/>
    <s v="Mouse Logitech"/>
    <x v="1"/>
    <x v="5"/>
    <s v="Fernando Ruiz"/>
    <n v="1"/>
    <n v="75"/>
    <n v="0.1"/>
    <n v="67.5"/>
    <x v="3"/>
  </r>
  <r>
    <s v="ventas_lima_mar.xlsx"/>
    <x v="85"/>
    <x v="2"/>
    <s v="BEL002"/>
    <s v="Crema Facial"/>
    <x v="0"/>
    <x v="4"/>
    <s v="Daniela Rivas"/>
    <n v="1"/>
    <n v="60"/>
    <n v="0.1"/>
    <n v="54"/>
    <x v="3"/>
  </r>
  <r>
    <s v="ventas_lima_mar.xlsx"/>
    <x v="57"/>
    <x v="2"/>
    <s v="TEC001"/>
    <s v="Laptop Lenovo"/>
    <x v="1"/>
    <x v="4"/>
    <s v="Fiorella Díaz"/>
    <n v="5"/>
    <n v="2800"/>
    <n v="0"/>
    <n v="14000"/>
    <x v="2"/>
  </r>
  <r>
    <s v="ventas_lima_mar.xlsx"/>
    <x v="69"/>
    <x v="2"/>
    <s v="TEC002"/>
    <s v="Mouse Logitech"/>
    <x v="1"/>
    <x v="4"/>
    <s v="Pedro Chávez"/>
    <n v="4"/>
    <n v="75"/>
    <n v="0.15"/>
    <n v="255"/>
    <x v="3"/>
  </r>
  <r>
    <s v="ventas_lima_mar.xlsx"/>
    <x v="76"/>
    <x v="2"/>
    <s v="TEC002"/>
    <s v="Mouse Logitech"/>
    <x v="1"/>
    <x v="4"/>
    <s v="Diana Salas"/>
    <n v="3"/>
    <n v="75"/>
    <n v="0"/>
    <n v="225"/>
    <x v="1"/>
  </r>
  <r>
    <s v="ventas_lima_mar.xlsx"/>
    <x v="77"/>
    <x v="2"/>
    <s v="HOG003"/>
    <s v="Sartén Antiadherente"/>
    <x v="2"/>
    <x v="4"/>
    <s v="Lucía Pérez"/>
    <n v="4"/>
    <n v="95"/>
    <n v="0.05"/>
    <n v="361"/>
    <x v="3"/>
  </r>
  <r>
    <s v="ventas_lima_mar.xlsx"/>
    <x v="73"/>
    <x v="2"/>
    <s v="HOG003"/>
    <s v="Sartén Antiadherente"/>
    <x v="2"/>
    <x v="4"/>
    <s v="Diana Salas"/>
    <n v="5"/>
    <n v="95"/>
    <n v="0"/>
    <n v="475"/>
    <x v="3"/>
  </r>
  <r>
    <s v="ventas_lima_mar.xlsx"/>
    <x v="63"/>
    <x v="2"/>
    <s v="HOG002"/>
    <s v="Juego de Sábanas"/>
    <x v="2"/>
    <x v="5"/>
    <s v="Miguel Herrera"/>
    <n v="5"/>
    <n v="120"/>
    <n v="0"/>
    <n v="600"/>
    <x v="2"/>
  </r>
  <r>
    <s v="ventas_lima_mar.xlsx"/>
    <x v="69"/>
    <x v="2"/>
    <s v="HOG002"/>
    <s v="Juego de Sábanas"/>
    <x v="2"/>
    <x v="5"/>
    <s v="Miguel Herrera"/>
    <n v="5"/>
    <n v="120"/>
    <n v="0.05"/>
    <n v="570"/>
    <x v="3"/>
  </r>
  <r>
    <s v="ventas_lima_mar.xlsx"/>
    <x v="78"/>
    <x v="2"/>
    <s v="MOD003"/>
    <s v="Polo Básico"/>
    <x v="3"/>
    <x v="4"/>
    <s v="Miguel Herrera"/>
    <n v="4"/>
    <n v="55"/>
    <n v="0"/>
    <n v="220"/>
    <x v="2"/>
  </r>
  <r>
    <s v="ventas_lima_mar.xlsx"/>
    <x v="64"/>
    <x v="2"/>
    <s v="DEP003"/>
    <s v="Tomatodo Deportivo"/>
    <x v="4"/>
    <x v="4"/>
    <s v="Omar Cárdenas"/>
    <n v="1"/>
    <n v="35"/>
    <n v="0"/>
    <n v="35"/>
    <x v="2"/>
  </r>
  <r>
    <s v="ventas_lima_mar.xlsx"/>
    <x v="65"/>
    <x v="2"/>
    <s v="BEL001"/>
    <s v="Perfume Floral"/>
    <x v="0"/>
    <x v="4"/>
    <s v="Iván Soto"/>
    <n v="3"/>
    <n v="170"/>
    <n v="0"/>
    <n v="510"/>
    <x v="1"/>
  </r>
  <r>
    <s v="ventas_lima_mar.xlsx"/>
    <x v="57"/>
    <x v="2"/>
    <s v="HOG002"/>
    <s v="Juego de Sábanas"/>
    <x v="2"/>
    <x v="5"/>
    <s v="Marco Espinoza"/>
    <n v="5"/>
    <n v="120"/>
    <n v="0"/>
    <n v="600"/>
    <x v="2"/>
  </r>
  <r>
    <s v="ventas_lima_mar.xlsx"/>
    <x v="60"/>
    <x v="2"/>
    <s v="DEP002"/>
    <s v="Mat de Yoga"/>
    <x v="4"/>
    <x v="4"/>
    <s v="Carlos Rojas"/>
    <n v="1"/>
    <n v="85"/>
    <n v="0"/>
    <n v="85"/>
    <x v="0"/>
  </r>
  <r>
    <s v="ventas_lima_mar.xlsx"/>
    <x v="84"/>
    <x v="2"/>
    <s v="TEC003"/>
    <s v="Audífonos JBL"/>
    <x v="1"/>
    <x v="4"/>
    <s v="César Salcedo"/>
    <n v="5"/>
    <n v="220"/>
    <n v="0"/>
    <n v="1100"/>
    <x v="0"/>
  </r>
  <r>
    <s v="ventas_lima_mar.xlsx"/>
    <x v="62"/>
    <x v="2"/>
    <s v="DEP001"/>
    <s v="Mancuernas 5kg"/>
    <x v="4"/>
    <x v="5"/>
    <s v="Daniela Rivas"/>
    <n v="3"/>
    <n v="140"/>
    <n v="0.1"/>
    <n v="378"/>
    <x v="3"/>
  </r>
  <r>
    <s v="ventas_lima_mar.xlsx"/>
    <x v="65"/>
    <x v="2"/>
    <s v="TEC003"/>
    <s v="Audífonos JBL"/>
    <x v="1"/>
    <x v="4"/>
    <s v="Iván Soto"/>
    <n v="4"/>
    <n v="220"/>
    <n v="0"/>
    <n v="880"/>
    <x v="1"/>
  </r>
  <r>
    <s v="ventas_lima_mar.xlsx"/>
    <x v="57"/>
    <x v="2"/>
    <s v="TEC003"/>
    <s v="Audífonos JBL"/>
    <x v="1"/>
    <x v="4"/>
    <s v="Omar Cárdenas"/>
    <n v="5"/>
    <n v="220"/>
    <n v="0.15"/>
    <n v="935"/>
    <x v="0"/>
  </r>
  <r>
    <s v="ventas_lima_mar.xlsx"/>
    <x v="62"/>
    <x v="2"/>
    <s v="HOG002"/>
    <s v="Juego de Sábanas"/>
    <x v="2"/>
    <x v="5"/>
    <s v="Miguel Herrera"/>
    <n v="4"/>
    <n v="120"/>
    <n v="0.05"/>
    <n v="456"/>
    <x v="0"/>
  </r>
  <r>
    <s v="ventas_lima_mar.xlsx"/>
    <x v="64"/>
    <x v="2"/>
    <s v="HOG001"/>
    <s v="Licuadora Oster"/>
    <x v="2"/>
    <x v="5"/>
    <s v="Alessandra Peña"/>
    <n v="5"/>
    <n v="180"/>
    <n v="0"/>
    <n v="900"/>
    <x v="1"/>
  </r>
  <r>
    <s v="ventas_lima_mar.xlsx"/>
    <x v="68"/>
    <x v="2"/>
    <s v="BEL003"/>
    <s v="Shampoo Nutritivo"/>
    <x v="0"/>
    <x v="5"/>
    <s v="María López"/>
    <n v="3"/>
    <n v="45"/>
    <n v="0"/>
    <n v="135"/>
    <x v="3"/>
  </r>
  <r>
    <s v="ventas_lima_mar.xlsx"/>
    <x v="63"/>
    <x v="2"/>
    <s v="MOD002"/>
    <s v="Zapatillas Urbanas"/>
    <x v="3"/>
    <x v="4"/>
    <s v="Elena Vera"/>
    <n v="5"/>
    <n v="210"/>
    <n v="0.1"/>
    <n v="945"/>
    <x v="2"/>
  </r>
  <r>
    <s v="ventas_lima_mar.xlsx"/>
    <x v="68"/>
    <x v="2"/>
    <s v="MOD001"/>
    <s v="Casaca Denim"/>
    <x v="3"/>
    <x v="5"/>
    <s v="Lucía Pérez"/>
    <n v="3"/>
    <n v="160"/>
    <n v="0.1"/>
    <n v="432"/>
    <x v="2"/>
  </r>
  <r>
    <s v="ventas_lima_mar.xlsx"/>
    <x v="81"/>
    <x v="2"/>
    <s v="MOD003"/>
    <s v="Polo Básico"/>
    <x v="3"/>
    <x v="4"/>
    <s v="Omar Cárdenas"/>
    <n v="2"/>
    <n v="55"/>
    <n v="0.1"/>
    <n v="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8A6D0-AA10-4C66-9364-6ED69029AC52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11:B16" firstHeaderRow="1" firstDataRow="1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Total Venta" fld="11" baseField="0" baseItem="0" numFmtId="164"/>
  </dataFields>
  <formats count="1">
    <format dxfId="0">
      <pivotArea outline="0" collapsedLevelsAreSubtotals="1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DF06B-CD20-42C5-861E-BD289149321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1"/>
        <item x="2"/>
        <item x="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Venta" fld="11" baseField="0" baseItem="0"/>
  </dataFields>
  <formats count="2">
    <format dxfId="2">
      <pivotArea grandRow="1" outline="0" collapsedLevelsAreSubtotals="1" fieldPosition="0"/>
    </format>
    <format dxfId="1">
      <pivotArea collapsedLevelsAreSubtotals="1" fieldPosition="0">
        <references count="1">
          <reference field="2" count="0"/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75707-1121-436E-8972-4198D12364A6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11:E18" firstHeaderRow="1" firstDataRow="1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axis="axisRow" showAll="0">
      <items count="7">
        <item x="2"/>
        <item x="4"/>
        <item x="5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5">
        <item x="1"/>
        <item x="2"/>
        <item x="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Total Venta" fld="11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FB013-474D-43A1-B98F-E48300ECBCEE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20:E24" firstHeaderRow="1" firstDataRow="1" firstDataCol="1"/>
  <pivotFields count="14">
    <pivotField dataField="1"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rchivo Orig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FC25-766A-45E7-87A9-539103102464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D3:E9" firstHeaderRow="1" firstDataRow="1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1"/>
        <item x="2"/>
        <item x="3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otal Venta" fld="11" baseField="0" baseItem="0" numFmtId="164"/>
  </dataFields>
  <formats count="1">
    <format dxfId="4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F681B-074B-4CD5-AF1B-9E80BA1B0BC6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20:B24" firstHeaderRow="1" firstDataRow="1" firstDataCol="1"/>
  <pivotFields count="14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a de Total Venta" fld="11" baseField="0" baseItem="0" numFmtId="164"/>
  </dataFields>
  <formats count="1">
    <format dxfId="5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F1F08-D549-47A4-8D68-8E562D6C2A6D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G3:H9" firstHeaderRow="1" firstDataRow="1" firstDataCol="1"/>
  <pivotFields count="14">
    <pivotField showAll="0"/>
    <pivotField numFmtId="14"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 defaultSubtota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antida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4CEACCE-E1C6-4CEA-B222-6A723FF2E023}" autoFormatId="16" applyNumberFormats="0" applyBorderFormats="0" applyFontFormats="0" applyPatternFormats="0" applyAlignmentFormats="0" applyWidthHeightFormats="0">
  <queryTableRefresh nextId="14">
    <queryTableFields count="13">
      <queryTableField id="1" name="Archivo Origen" tableColumnId="1"/>
      <queryTableField id="2" name="Fecha" tableColumnId="2"/>
      <queryTableField id="3" name="Sede" tableColumnId="3"/>
      <queryTableField id="4" name="Código Producto" tableColumnId="4"/>
      <queryTableField id="5" name="Producto" tableColumnId="5"/>
      <queryTableField id="6" name="Categoria" tableColumnId="6"/>
      <queryTableField id="7" name="Vendedor" tableColumnId="7"/>
      <queryTableField id="8" name="Cliente" tableColumnId="8"/>
      <queryTableField id="9" name="Cantidad" tableColumnId="9"/>
      <queryTableField id="10" name="Precio Unitario" tableColumnId="10"/>
      <queryTableField id="11" name="Descuento" tableColumnId="11"/>
      <queryTableField id="12" name="Total Venta" tableColumnId="12"/>
      <queryTableField id="13" name="Medio de Pago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de" xr10:uid="{A3F2EA51-3BAF-4593-AC8B-A045629478FC}" sourceName="Sede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588545295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5E4DDBBC-D20D-4A41-90D4-FD2DEF1DB5E9}" sourceName="Categoria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588545295">
      <items count="5">
        <i x="0" s="1"/>
        <i x="4" s="1"/>
        <i x="2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dio_de_Pago" xr10:uid="{FB724119-D86B-42BD-BE08-9A7D0AC907E2}" sourceName="Medio de Pago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3" name="TablaDinámica6"/>
    <pivotTable tabId="3" name="TablaDinámica7"/>
  </pivotTables>
  <data>
    <tabular pivotCacheId="1588545295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de" xr10:uid="{84CBBA41-D4C0-4860-AD5C-C912E1E9D36F}" cache="SegmentaciónDeDatos_Sede" caption="Sede" rowHeight="234950"/>
  <slicer name="Categoria" xr10:uid="{2E8717DA-0E29-411C-B496-910126563BF9}" cache="SegmentaciónDeDatos_Categoria" caption="Categoria" rowHeight="234950"/>
  <slicer name="Medio de Pago" xr10:uid="{DCB6365C-8B59-4557-9767-79DB3E09402E}" cache="SegmentaciónDeDatos_Medio_de_Pago" caption="Medio de Pago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34F25-5D9A-4A05-AF85-5A8C700C5FE7}" name="tbl_ventas_limpias" displayName="tbl_ventas_limpias" ref="A1:M901" tableType="queryTable" totalsRowShown="0">
  <autoFilter ref="A1:M901" xr:uid="{FA934F25-5D9A-4A05-AF85-5A8C700C5FE7}"/>
  <tableColumns count="13">
    <tableColumn id="1" xr3:uid="{C2E937D9-A075-44A3-8CD7-612EE115EC95}" uniqueName="1" name="Archivo Origen" queryTableFieldId="1" dataDxfId="14"/>
    <tableColumn id="2" xr3:uid="{091746A3-3853-474C-9C91-6DA6E7608B0B}" uniqueName="2" name="Fecha" queryTableFieldId="2" dataDxfId="13"/>
    <tableColumn id="3" xr3:uid="{B62B61F0-8583-4DCB-80B4-8057CD8570A2}" uniqueName="3" name="Sede" queryTableFieldId="3" dataDxfId="12"/>
    <tableColumn id="4" xr3:uid="{906904DF-A53B-476B-ADB4-329B91AF8F89}" uniqueName="4" name="Código Producto" queryTableFieldId="4" dataDxfId="11"/>
    <tableColumn id="5" xr3:uid="{C999D6ED-BCAC-4BF0-9B53-E707916D5AC8}" uniqueName="5" name="Producto" queryTableFieldId="5" dataDxfId="10"/>
    <tableColumn id="6" xr3:uid="{D8DEA826-3126-4182-A35A-D919B9A5D808}" uniqueName="6" name="Categoria" queryTableFieldId="6" dataDxfId="9"/>
    <tableColumn id="7" xr3:uid="{0CE8D8DC-9B27-4FE9-8323-0D75235CD5C4}" uniqueName="7" name="Vendedor" queryTableFieldId="7" dataDxfId="8"/>
    <tableColumn id="8" xr3:uid="{240548F7-7E51-40DC-B5EA-6C65C5D2CB33}" uniqueName="8" name="Cliente" queryTableFieldId="8" dataDxfId="7"/>
    <tableColumn id="9" xr3:uid="{19942DD4-8D9D-48D2-A19D-243BFCD6FAD2}" uniqueName="9" name="Cantidad" queryTableFieldId="9"/>
    <tableColumn id="10" xr3:uid="{375CD596-D68C-4F28-B110-F597C983EAEF}" uniqueName="10" name="Precio Unitario" queryTableFieldId="10"/>
    <tableColumn id="11" xr3:uid="{5236814E-56CB-4749-A883-4F47F41D5135}" uniqueName="11" name="Descuento" queryTableFieldId="11"/>
    <tableColumn id="12" xr3:uid="{029D53B5-977C-44DF-A7D4-A30FC4F0F5B2}" uniqueName="12" name="Total Venta" queryTableFieldId="12"/>
    <tableColumn id="13" xr3:uid="{9C599598-41A4-4286-AFCB-D55FDE55B782}" uniqueName="13" name="Medio de Pago" queryTableFieldId="1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1B33-95FF-4ACC-AF33-23C8B231085F}">
  <dimension ref="A1:M901"/>
  <sheetViews>
    <sheetView topLeftCell="A589" workbookViewId="0">
      <selection activeCell="D602" sqref="D602"/>
    </sheetView>
  </sheetViews>
  <sheetFormatPr baseColWidth="10" defaultRowHeight="14.4" x14ac:dyDescent="0.3"/>
  <cols>
    <col min="1" max="1" width="23.21875" bestFit="1" customWidth="1"/>
    <col min="2" max="2" width="10.5546875" bestFit="1" customWidth="1"/>
    <col min="3" max="3" width="9.109375" bestFit="1" customWidth="1"/>
    <col min="4" max="4" width="17.33203125" bestFit="1" customWidth="1"/>
    <col min="5" max="5" width="18.33203125" bestFit="1" customWidth="1"/>
    <col min="6" max="6" width="11.21875" bestFit="1" customWidth="1"/>
    <col min="7" max="7" width="14" bestFit="1" customWidth="1"/>
    <col min="8" max="8" width="18" bestFit="1" customWidth="1"/>
    <col min="9" max="9" width="10.77734375" bestFit="1" customWidth="1"/>
    <col min="10" max="10" width="15.6640625" bestFit="1" customWidth="1"/>
    <col min="11" max="11" width="12.109375" bestFit="1" customWidth="1"/>
    <col min="12" max="12" width="12.88671875" bestFit="1" customWidth="1"/>
    <col min="13" max="13" width="15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2">
        <v>46035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1</v>
      </c>
      <c r="J2">
        <v>60</v>
      </c>
      <c r="K2">
        <v>0</v>
      </c>
      <c r="L2">
        <v>60</v>
      </c>
      <c r="M2" s="1" t="s">
        <v>20</v>
      </c>
    </row>
    <row r="3" spans="1:13" x14ac:dyDescent="0.3">
      <c r="A3" s="1" t="s">
        <v>13</v>
      </c>
      <c r="B3" s="2">
        <v>46049</v>
      </c>
      <c r="C3" s="1" t="s">
        <v>14</v>
      </c>
      <c r="D3" s="1" t="s">
        <v>21</v>
      </c>
      <c r="E3" s="1" t="s">
        <v>22</v>
      </c>
      <c r="F3" s="1" t="s">
        <v>23</v>
      </c>
      <c r="G3" s="1" t="s">
        <v>18</v>
      </c>
      <c r="H3" s="1" t="s">
        <v>24</v>
      </c>
      <c r="I3">
        <v>3</v>
      </c>
      <c r="J3">
        <v>220</v>
      </c>
      <c r="K3">
        <v>0.1</v>
      </c>
      <c r="L3">
        <v>594</v>
      </c>
      <c r="M3" s="1" t="s">
        <v>25</v>
      </c>
    </row>
    <row r="4" spans="1:13" x14ac:dyDescent="0.3">
      <c r="A4" s="1" t="s">
        <v>13</v>
      </c>
      <c r="B4" s="2">
        <v>46027</v>
      </c>
      <c r="C4" s="1" t="s">
        <v>14</v>
      </c>
      <c r="D4" s="1" t="s">
        <v>26</v>
      </c>
      <c r="E4" s="1" t="s">
        <v>27</v>
      </c>
      <c r="F4" s="1" t="s">
        <v>28</v>
      </c>
      <c r="G4" s="1" t="s">
        <v>18</v>
      </c>
      <c r="H4" s="1" t="s">
        <v>29</v>
      </c>
      <c r="I4">
        <v>4</v>
      </c>
      <c r="J4">
        <v>180</v>
      </c>
      <c r="K4">
        <v>0.05</v>
      </c>
      <c r="L4">
        <v>684</v>
      </c>
      <c r="M4" s="1" t="s">
        <v>25</v>
      </c>
    </row>
    <row r="5" spans="1:13" x14ac:dyDescent="0.3">
      <c r="A5" s="1" t="s">
        <v>13</v>
      </c>
      <c r="B5" s="2">
        <v>46040</v>
      </c>
      <c r="C5" s="1" t="s">
        <v>14</v>
      </c>
      <c r="D5" s="1" t="s">
        <v>30</v>
      </c>
      <c r="E5" s="1" t="s">
        <v>31</v>
      </c>
      <c r="F5" s="1" t="s">
        <v>23</v>
      </c>
      <c r="G5" s="1" t="s">
        <v>18</v>
      </c>
      <c r="H5" s="1" t="s">
        <v>32</v>
      </c>
      <c r="I5">
        <v>2</v>
      </c>
      <c r="J5">
        <v>2800</v>
      </c>
      <c r="K5">
        <v>0.1</v>
      </c>
      <c r="L5">
        <v>5040</v>
      </c>
      <c r="M5" s="1" t="s">
        <v>33</v>
      </c>
    </row>
    <row r="6" spans="1:13" x14ac:dyDescent="0.3">
      <c r="A6" s="1" t="s">
        <v>13</v>
      </c>
      <c r="B6" s="2">
        <v>46043</v>
      </c>
      <c r="C6" s="1" t="s">
        <v>14</v>
      </c>
      <c r="D6" s="1" t="s">
        <v>34</v>
      </c>
      <c r="E6" s="1" t="s">
        <v>35</v>
      </c>
      <c r="F6" s="1" t="s">
        <v>28</v>
      </c>
      <c r="G6" s="1" t="s">
        <v>18</v>
      </c>
      <c r="H6" s="1" t="s">
        <v>36</v>
      </c>
      <c r="I6">
        <v>1</v>
      </c>
      <c r="J6">
        <v>120</v>
      </c>
      <c r="K6">
        <v>0</v>
      </c>
      <c r="L6">
        <v>120</v>
      </c>
      <c r="M6" s="1" t="s">
        <v>37</v>
      </c>
    </row>
    <row r="7" spans="1:13" x14ac:dyDescent="0.3">
      <c r="A7" s="1" t="s">
        <v>13</v>
      </c>
      <c r="B7" s="2">
        <v>46041</v>
      </c>
      <c r="C7" s="1" t="s">
        <v>14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32</v>
      </c>
      <c r="I7">
        <v>1</v>
      </c>
      <c r="J7">
        <v>55</v>
      </c>
      <c r="K7">
        <v>0.05</v>
      </c>
      <c r="L7">
        <v>52.25</v>
      </c>
      <c r="M7" s="1" t="s">
        <v>37</v>
      </c>
    </row>
    <row r="8" spans="1:13" x14ac:dyDescent="0.3">
      <c r="A8" s="1" t="s">
        <v>13</v>
      </c>
      <c r="B8" s="2">
        <v>46036</v>
      </c>
      <c r="C8" s="1" t="s">
        <v>14</v>
      </c>
      <c r="D8" s="1" t="s">
        <v>30</v>
      </c>
      <c r="E8" s="1" t="s">
        <v>31</v>
      </c>
      <c r="F8" s="1" t="s">
        <v>23</v>
      </c>
      <c r="G8" s="1" t="s">
        <v>41</v>
      </c>
      <c r="H8" s="1" t="s">
        <v>19</v>
      </c>
      <c r="I8">
        <v>3</v>
      </c>
      <c r="J8">
        <v>2800</v>
      </c>
      <c r="K8">
        <v>0</v>
      </c>
      <c r="L8">
        <v>8400</v>
      </c>
      <c r="M8" s="1" t="s">
        <v>20</v>
      </c>
    </row>
    <row r="9" spans="1:13" x14ac:dyDescent="0.3">
      <c r="A9" s="1" t="s">
        <v>13</v>
      </c>
      <c r="B9" s="2">
        <v>46048</v>
      </c>
      <c r="C9" s="1" t="s">
        <v>14</v>
      </c>
      <c r="D9" s="1" t="s">
        <v>30</v>
      </c>
      <c r="E9" s="1" t="s">
        <v>31</v>
      </c>
      <c r="F9" s="1" t="s">
        <v>23</v>
      </c>
      <c r="G9" s="1" t="s">
        <v>41</v>
      </c>
      <c r="H9" s="1" t="s">
        <v>42</v>
      </c>
      <c r="I9">
        <v>5</v>
      </c>
      <c r="J9">
        <v>2800</v>
      </c>
      <c r="K9">
        <v>0</v>
      </c>
      <c r="L9">
        <v>14000</v>
      </c>
      <c r="M9" s="1" t="s">
        <v>25</v>
      </c>
    </row>
    <row r="10" spans="1:13" x14ac:dyDescent="0.3">
      <c r="A10" s="1" t="s">
        <v>13</v>
      </c>
      <c r="B10" s="2">
        <v>46023</v>
      </c>
      <c r="C10" s="1" t="s">
        <v>14</v>
      </c>
      <c r="D10" s="1" t="s">
        <v>43</v>
      </c>
      <c r="E10" s="1" t="s">
        <v>44</v>
      </c>
      <c r="F10" s="1" t="s">
        <v>45</v>
      </c>
      <c r="G10" s="1" t="s">
        <v>18</v>
      </c>
      <c r="H10" s="1" t="s">
        <v>46</v>
      </c>
      <c r="I10">
        <v>3</v>
      </c>
      <c r="J10">
        <v>140</v>
      </c>
      <c r="K10">
        <v>0</v>
      </c>
      <c r="L10">
        <v>420</v>
      </c>
      <c r="M10" s="1" t="s">
        <v>33</v>
      </c>
    </row>
    <row r="11" spans="1:13" x14ac:dyDescent="0.3">
      <c r="A11" s="1" t="s">
        <v>13</v>
      </c>
      <c r="B11" s="2">
        <v>46046</v>
      </c>
      <c r="C11" s="1" t="s">
        <v>14</v>
      </c>
      <c r="D11" s="1" t="s">
        <v>47</v>
      </c>
      <c r="E11" s="1" t="s">
        <v>48</v>
      </c>
      <c r="F11" s="1" t="s">
        <v>45</v>
      </c>
      <c r="G11" s="1" t="s">
        <v>18</v>
      </c>
      <c r="H11" s="1" t="s">
        <v>46</v>
      </c>
      <c r="I11">
        <v>1</v>
      </c>
      <c r="J11">
        <v>85</v>
      </c>
      <c r="K11">
        <v>0.05</v>
      </c>
      <c r="L11">
        <v>80.75</v>
      </c>
      <c r="M11" s="1" t="s">
        <v>20</v>
      </c>
    </row>
    <row r="12" spans="1:13" x14ac:dyDescent="0.3">
      <c r="A12" s="1" t="s">
        <v>13</v>
      </c>
      <c r="B12" s="2">
        <v>46044</v>
      </c>
      <c r="C12" s="1" t="s">
        <v>14</v>
      </c>
      <c r="D12" s="1" t="s">
        <v>49</v>
      </c>
      <c r="E12" s="1" t="s">
        <v>50</v>
      </c>
      <c r="F12" s="1" t="s">
        <v>45</v>
      </c>
      <c r="G12" s="1" t="s">
        <v>18</v>
      </c>
      <c r="H12" s="1" t="s">
        <v>42</v>
      </c>
      <c r="I12">
        <v>2</v>
      </c>
      <c r="J12">
        <v>35</v>
      </c>
      <c r="K12">
        <v>0.1</v>
      </c>
      <c r="L12">
        <v>63</v>
      </c>
      <c r="M12" s="1" t="s">
        <v>33</v>
      </c>
    </row>
    <row r="13" spans="1:13" x14ac:dyDescent="0.3">
      <c r="A13" s="1" t="s">
        <v>13</v>
      </c>
      <c r="B13" s="2">
        <v>46053</v>
      </c>
      <c r="C13" s="1" t="s">
        <v>14</v>
      </c>
      <c r="D13" s="1" t="s">
        <v>49</v>
      </c>
      <c r="E13" s="1" t="s">
        <v>50</v>
      </c>
      <c r="F13" s="1" t="s">
        <v>45</v>
      </c>
      <c r="G13" s="1" t="s">
        <v>18</v>
      </c>
      <c r="H13" s="1" t="s">
        <v>51</v>
      </c>
      <c r="I13">
        <v>1</v>
      </c>
      <c r="J13">
        <v>35</v>
      </c>
      <c r="K13">
        <v>0.05</v>
      </c>
      <c r="L13">
        <v>33.25</v>
      </c>
      <c r="M13" s="1" t="s">
        <v>25</v>
      </c>
    </row>
    <row r="14" spans="1:13" x14ac:dyDescent="0.3">
      <c r="A14" s="1" t="s">
        <v>13</v>
      </c>
      <c r="B14" s="2">
        <v>46032</v>
      </c>
      <c r="C14" s="1" t="s">
        <v>14</v>
      </c>
      <c r="D14" s="1" t="s">
        <v>49</v>
      </c>
      <c r="E14" s="1" t="s">
        <v>50</v>
      </c>
      <c r="F14" s="1" t="s">
        <v>45</v>
      </c>
      <c r="G14" s="1" t="s">
        <v>18</v>
      </c>
      <c r="H14" s="1" t="s">
        <v>52</v>
      </c>
      <c r="I14">
        <v>1</v>
      </c>
      <c r="J14">
        <v>35</v>
      </c>
      <c r="K14">
        <v>0</v>
      </c>
      <c r="L14">
        <v>35</v>
      </c>
      <c r="M14" s="1" t="s">
        <v>37</v>
      </c>
    </row>
    <row r="15" spans="1:13" x14ac:dyDescent="0.3">
      <c r="A15" s="1" t="s">
        <v>13</v>
      </c>
      <c r="B15" s="2">
        <v>46050</v>
      </c>
      <c r="C15" s="1" t="s">
        <v>14</v>
      </c>
      <c r="D15" s="1" t="s">
        <v>26</v>
      </c>
      <c r="E15" s="1" t="s">
        <v>27</v>
      </c>
      <c r="F15" s="1" t="s">
        <v>28</v>
      </c>
      <c r="G15" s="1" t="s">
        <v>41</v>
      </c>
      <c r="H15" s="1" t="s">
        <v>53</v>
      </c>
      <c r="I15">
        <v>2</v>
      </c>
      <c r="J15">
        <v>180</v>
      </c>
      <c r="K15">
        <v>0</v>
      </c>
      <c r="L15">
        <v>360</v>
      </c>
      <c r="M15" s="1" t="s">
        <v>20</v>
      </c>
    </row>
    <row r="16" spans="1:13" x14ac:dyDescent="0.3">
      <c r="A16" s="1" t="s">
        <v>13</v>
      </c>
      <c r="B16" s="2">
        <v>46035</v>
      </c>
      <c r="C16" s="1" t="s">
        <v>14</v>
      </c>
      <c r="D16" s="1" t="s">
        <v>54</v>
      </c>
      <c r="E16" s="1" t="s">
        <v>55</v>
      </c>
      <c r="F16" s="1" t="s">
        <v>23</v>
      </c>
      <c r="G16" s="1" t="s">
        <v>18</v>
      </c>
      <c r="H16" s="1" t="s">
        <v>56</v>
      </c>
      <c r="I16">
        <v>3</v>
      </c>
      <c r="J16">
        <v>75</v>
      </c>
      <c r="K16">
        <v>0</v>
      </c>
      <c r="L16">
        <v>225</v>
      </c>
      <c r="M16" s="1" t="s">
        <v>20</v>
      </c>
    </row>
    <row r="17" spans="1:13" x14ac:dyDescent="0.3">
      <c r="A17" s="1" t="s">
        <v>13</v>
      </c>
      <c r="B17" s="2">
        <v>46034</v>
      </c>
      <c r="C17" s="1" t="s">
        <v>14</v>
      </c>
      <c r="D17" s="1" t="s">
        <v>57</v>
      </c>
      <c r="E17" s="1" t="s">
        <v>58</v>
      </c>
      <c r="F17" s="1" t="s">
        <v>17</v>
      </c>
      <c r="G17" s="1" t="s">
        <v>18</v>
      </c>
      <c r="H17" s="1" t="s">
        <v>59</v>
      </c>
      <c r="I17">
        <v>4</v>
      </c>
      <c r="J17">
        <v>45</v>
      </c>
      <c r="K17">
        <v>0.05</v>
      </c>
      <c r="L17">
        <v>171</v>
      </c>
      <c r="M17" s="1" t="s">
        <v>37</v>
      </c>
    </row>
    <row r="18" spans="1:13" x14ac:dyDescent="0.3">
      <c r="A18" s="1" t="s">
        <v>13</v>
      </c>
      <c r="B18" s="2">
        <v>46028</v>
      </c>
      <c r="C18" s="1" t="s">
        <v>14</v>
      </c>
      <c r="D18" s="1" t="s">
        <v>54</v>
      </c>
      <c r="E18" s="1" t="s">
        <v>55</v>
      </c>
      <c r="F18" s="1" t="s">
        <v>23</v>
      </c>
      <c r="G18" s="1" t="s">
        <v>18</v>
      </c>
      <c r="H18" s="1" t="s">
        <v>19</v>
      </c>
      <c r="I18">
        <v>5</v>
      </c>
      <c r="J18">
        <v>75</v>
      </c>
      <c r="K18">
        <v>0.15</v>
      </c>
      <c r="L18">
        <v>318.75</v>
      </c>
      <c r="M18" s="1" t="s">
        <v>20</v>
      </c>
    </row>
    <row r="19" spans="1:13" x14ac:dyDescent="0.3">
      <c r="A19" s="1" t="s">
        <v>13</v>
      </c>
      <c r="B19" s="2">
        <v>46045</v>
      </c>
      <c r="C19" s="1" t="s">
        <v>14</v>
      </c>
      <c r="D19" s="1" t="s">
        <v>43</v>
      </c>
      <c r="E19" s="1" t="s">
        <v>44</v>
      </c>
      <c r="F19" s="1" t="s">
        <v>45</v>
      </c>
      <c r="G19" s="1" t="s">
        <v>18</v>
      </c>
      <c r="H19" s="1" t="s">
        <v>60</v>
      </c>
      <c r="I19">
        <v>3</v>
      </c>
      <c r="J19">
        <v>140</v>
      </c>
      <c r="K19">
        <v>0</v>
      </c>
      <c r="L19">
        <v>420</v>
      </c>
      <c r="M19" s="1" t="s">
        <v>20</v>
      </c>
    </row>
    <row r="20" spans="1:13" x14ac:dyDescent="0.3">
      <c r="A20" s="1" t="s">
        <v>13</v>
      </c>
      <c r="B20" s="2">
        <v>46036</v>
      </c>
      <c r="C20" s="1" t="s">
        <v>14</v>
      </c>
      <c r="D20" s="1" t="s">
        <v>61</v>
      </c>
      <c r="E20" s="1" t="s">
        <v>62</v>
      </c>
      <c r="F20" s="1" t="s">
        <v>40</v>
      </c>
      <c r="G20" s="1" t="s">
        <v>18</v>
      </c>
      <c r="H20" s="1" t="s">
        <v>63</v>
      </c>
      <c r="I20">
        <v>3</v>
      </c>
      <c r="J20">
        <v>160</v>
      </c>
      <c r="K20">
        <v>0.05</v>
      </c>
      <c r="L20">
        <v>456</v>
      </c>
      <c r="M20" s="1" t="s">
        <v>25</v>
      </c>
    </row>
    <row r="21" spans="1:13" x14ac:dyDescent="0.3">
      <c r="A21" s="1" t="s">
        <v>13</v>
      </c>
      <c r="B21" s="2">
        <v>46048</v>
      </c>
      <c r="C21" s="1" t="s">
        <v>14</v>
      </c>
      <c r="D21" s="1" t="s">
        <v>30</v>
      </c>
      <c r="E21" s="1" t="s">
        <v>31</v>
      </c>
      <c r="F21" s="1" t="s">
        <v>23</v>
      </c>
      <c r="G21" s="1" t="s">
        <v>41</v>
      </c>
      <c r="H21" s="1" t="s">
        <v>24</v>
      </c>
      <c r="I21">
        <v>4</v>
      </c>
      <c r="J21">
        <v>2800</v>
      </c>
      <c r="K21">
        <v>0</v>
      </c>
      <c r="L21">
        <v>11200</v>
      </c>
      <c r="M21" s="1" t="s">
        <v>37</v>
      </c>
    </row>
    <row r="22" spans="1:13" x14ac:dyDescent="0.3">
      <c r="A22" s="1" t="s">
        <v>13</v>
      </c>
      <c r="B22" s="2">
        <v>46043</v>
      </c>
      <c r="C22" s="1" t="s">
        <v>14</v>
      </c>
      <c r="D22" s="1" t="s">
        <v>30</v>
      </c>
      <c r="E22" s="1" t="s">
        <v>31</v>
      </c>
      <c r="F22" s="1" t="s">
        <v>23</v>
      </c>
      <c r="G22" s="1" t="s">
        <v>18</v>
      </c>
      <c r="H22" s="1" t="s">
        <v>64</v>
      </c>
      <c r="I22">
        <v>1</v>
      </c>
      <c r="J22">
        <v>2800</v>
      </c>
      <c r="K22">
        <v>0</v>
      </c>
      <c r="L22">
        <v>2800</v>
      </c>
      <c r="M22" s="1" t="s">
        <v>25</v>
      </c>
    </row>
    <row r="23" spans="1:13" x14ac:dyDescent="0.3">
      <c r="A23" s="1" t="s">
        <v>13</v>
      </c>
      <c r="B23" s="2">
        <v>46034</v>
      </c>
      <c r="C23" s="1" t="s">
        <v>14</v>
      </c>
      <c r="D23" s="1" t="s">
        <v>38</v>
      </c>
      <c r="E23" s="1" t="s">
        <v>39</v>
      </c>
      <c r="F23" s="1" t="s">
        <v>40</v>
      </c>
      <c r="G23" s="1" t="s">
        <v>18</v>
      </c>
      <c r="H23" s="1" t="s">
        <v>64</v>
      </c>
      <c r="I23">
        <v>4</v>
      </c>
      <c r="J23">
        <v>55</v>
      </c>
      <c r="K23">
        <v>0.1</v>
      </c>
      <c r="L23">
        <v>198</v>
      </c>
      <c r="M23" s="1" t="s">
        <v>33</v>
      </c>
    </row>
    <row r="24" spans="1:13" x14ac:dyDescent="0.3">
      <c r="A24" s="1" t="s">
        <v>13</v>
      </c>
      <c r="B24" s="2">
        <v>46031</v>
      </c>
      <c r="C24" s="1" t="s">
        <v>14</v>
      </c>
      <c r="D24" s="1" t="s">
        <v>65</v>
      </c>
      <c r="E24" s="1" t="s">
        <v>66</v>
      </c>
      <c r="F24" s="1" t="s">
        <v>40</v>
      </c>
      <c r="G24" s="1" t="s">
        <v>41</v>
      </c>
      <c r="H24" s="1" t="s">
        <v>29</v>
      </c>
      <c r="I24">
        <v>4</v>
      </c>
      <c r="J24">
        <v>210</v>
      </c>
      <c r="K24">
        <v>0</v>
      </c>
      <c r="L24">
        <v>840</v>
      </c>
      <c r="M24" s="1" t="s">
        <v>33</v>
      </c>
    </row>
    <row r="25" spans="1:13" x14ac:dyDescent="0.3">
      <c r="A25" s="1" t="s">
        <v>13</v>
      </c>
      <c r="B25" s="2">
        <v>46026</v>
      </c>
      <c r="C25" s="1" t="s">
        <v>14</v>
      </c>
      <c r="D25" s="1" t="s">
        <v>65</v>
      </c>
      <c r="E25" s="1" t="s">
        <v>66</v>
      </c>
      <c r="F25" s="1" t="s">
        <v>40</v>
      </c>
      <c r="G25" s="1" t="s">
        <v>18</v>
      </c>
      <c r="H25" s="1" t="s">
        <v>67</v>
      </c>
      <c r="I25">
        <v>4</v>
      </c>
      <c r="J25">
        <v>210</v>
      </c>
      <c r="K25">
        <v>0.1</v>
      </c>
      <c r="L25">
        <v>756</v>
      </c>
      <c r="M25" s="1" t="s">
        <v>37</v>
      </c>
    </row>
    <row r="26" spans="1:13" x14ac:dyDescent="0.3">
      <c r="A26" s="1" t="s">
        <v>13</v>
      </c>
      <c r="B26" s="2">
        <v>46052</v>
      </c>
      <c r="C26" s="1" t="s">
        <v>14</v>
      </c>
      <c r="D26" s="1" t="s">
        <v>21</v>
      </c>
      <c r="E26" s="1" t="s">
        <v>22</v>
      </c>
      <c r="F26" s="1" t="s">
        <v>23</v>
      </c>
      <c r="G26" s="1" t="s">
        <v>18</v>
      </c>
      <c r="H26" s="1" t="s">
        <v>24</v>
      </c>
      <c r="I26">
        <v>5</v>
      </c>
      <c r="J26">
        <v>220</v>
      </c>
      <c r="K26">
        <v>0</v>
      </c>
      <c r="L26">
        <v>1100</v>
      </c>
      <c r="M26" s="1" t="s">
        <v>25</v>
      </c>
    </row>
    <row r="27" spans="1:13" x14ac:dyDescent="0.3">
      <c r="A27" s="1" t="s">
        <v>13</v>
      </c>
      <c r="B27" s="2">
        <v>46048</v>
      </c>
      <c r="C27" s="1" t="s">
        <v>14</v>
      </c>
      <c r="D27" s="1" t="s">
        <v>61</v>
      </c>
      <c r="E27" s="1" t="s">
        <v>62</v>
      </c>
      <c r="F27" s="1" t="s">
        <v>40</v>
      </c>
      <c r="G27" s="1" t="s">
        <v>18</v>
      </c>
      <c r="H27" s="1" t="s">
        <v>67</v>
      </c>
      <c r="I27">
        <v>4</v>
      </c>
      <c r="J27">
        <v>160</v>
      </c>
      <c r="K27">
        <v>0.15</v>
      </c>
      <c r="L27">
        <v>544</v>
      </c>
      <c r="M27" s="1" t="s">
        <v>25</v>
      </c>
    </row>
    <row r="28" spans="1:13" x14ac:dyDescent="0.3">
      <c r="A28" s="1" t="s">
        <v>13</v>
      </c>
      <c r="B28" s="2">
        <v>46050</v>
      </c>
      <c r="C28" s="1" t="s">
        <v>14</v>
      </c>
      <c r="D28" s="1" t="s">
        <v>65</v>
      </c>
      <c r="E28" s="1" t="s">
        <v>66</v>
      </c>
      <c r="F28" s="1" t="s">
        <v>40</v>
      </c>
      <c r="G28" s="1" t="s">
        <v>41</v>
      </c>
      <c r="H28" s="1" t="s">
        <v>68</v>
      </c>
      <c r="I28">
        <v>3</v>
      </c>
      <c r="J28">
        <v>210</v>
      </c>
      <c r="K28">
        <v>0.1</v>
      </c>
      <c r="L28">
        <v>567</v>
      </c>
      <c r="M28" s="1" t="s">
        <v>33</v>
      </c>
    </row>
    <row r="29" spans="1:13" x14ac:dyDescent="0.3">
      <c r="A29" s="1" t="s">
        <v>13</v>
      </c>
      <c r="B29" s="2">
        <v>46029</v>
      </c>
      <c r="C29" s="1" t="s">
        <v>14</v>
      </c>
      <c r="D29" s="1" t="s">
        <v>49</v>
      </c>
      <c r="E29" s="1" t="s">
        <v>50</v>
      </c>
      <c r="F29" s="1" t="s">
        <v>45</v>
      </c>
      <c r="G29" s="1" t="s">
        <v>41</v>
      </c>
      <c r="H29" s="1" t="s">
        <v>42</v>
      </c>
      <c r="I29">
        <v>5</v>
      </c>
      <c r="J29">
        <v>35</v>
      </c>
      <c r="K29">
        <v>0</v>
      </c>
      <c r="L29">
        <v>175</v>
      </c>
      <c r="M29" s="1" t="s">
        <v>25</v>
      </c>
    </row>
    <row r="30" spans="1:13" x14ac:dyDescent="0.3">
      <c r="A30" s="1" t="s">
        <v>13</v>
      </c>
      <c r="B30" s="2">
        <v>46048</v>
      </c>
      <c r="C30" s="1" t="s">
        <v>14</v>
      </c>
      <c r="D30" s="1" t="s">
        <v>69</v>
      </c>
      <c r="E30" s="1" t="s">
        <v>70</v>
      </c>
      <c r="F30" s="1" t="s">
        <v>28</v>
      </c>
      <c r="G30" s="1" t="s">
        <v>41</v>
      </c>
      <c r="H30" s="1" t="s">
        <v>19</v>
      </c>
      <c r="I30">
        <v>5</v>
      </c>
      <c r="J30">
        <v>95</v>
      </c>
      <c r="K30">
        <v>0</v>
      </c>
      <c r="L30">
        <v>475</v>
      </c>
      <c r="M30" s="1" t="s">
        <v>25</v>
      </c>
    </row>
    <row r="31" spans="1:13" x14ac:dyDescent="0.3">
      <c r="A31" s="1" t="s">
        <v>13</v>
      </c>
      <c r="B31" s="2">
        <v>46047</v>
      </c>
      <c r="C31" s="1" t="s">
        <v>14</v>
      </c>
      <c r="D31" s="1" t="s">
        <v>34</v>
      </c>
      <c r="E31" s="1" t="s">
        <v>35</v>
      </c>
      <c r="F31" s="1" t="s">
        <v>28</v>
      </c>
      <c r="G31" s="1" t="s">
        <v>18</v>
      </c>
      <c r="H31" s="1" t="s">
        <v>19</v>
      </c>
      <c r="I31">
        <v>4</v>
      </c>
      <c r="J31">
        <v>120</v>
      </c>
      <c r="K31">
        <v>0</v>
      </c>
      <c r="L31">
        <v>480</v>
      </c>
      <c r="M31" s="1" t="s">
        <v>33</v>
      </c>
    </row>
    <row r="32" spans="1:13" x14ac:dyDescent="0.3">
      <c r="A32" s="1" t="s">
        <v>13</v>
      </c>
      <c r="B32" s="2">
        <v>46044</v>
      </c>
      <c r="C32" s="1" t="s">
        <v>14</v>
      </c>
      <c r="D32" s="1" t="s">
        <v>57</v>
      </c>
      <c r="E32" s="1" t="s">
        <v>58</v>
      </c>
      <c r="F32" s="1" t="s">
        <v>17</v>
      </c>
      <c r="G32" s="1" t="s">
        <v>18</v>
      </c>
      <c r="H32" s="1" t="s">
        <v>36</v>
      </c>
      <c r="I32">
        <v>1</v>
      </c>
      <c r="J32">
        <v>45</v>
      </c>
      <c r="K32">
        <v>0</v>
      </c>
      <c r="L32">
        <v>45</v>
      </c>
      <c r="M32" s="1" t="s">
        <v>33</v>
      </c>
    </row>
    <row r="33" spans="1:13" x14ac:dyDescent="0.3">
      <c r="A33" s="1" t="s">
        <v>13</v>
      </c>
      <c r="B33" s="2">
        <v>46052</v>
      </c>
      <c r="C33" s="1" t="s">
        <v>14</v>
      </c>
      <c r="D33" s="1" t="s">
        <v>49</v>
      </c>
      <c r="E33" s="1" t="s">
        <v>50</v>
      </c>
      <c r="F33" s="1" t="s">
        <v>45</v>
      </c>
      <c r="G33" s="1" t="s">
        <v>41</v>
      </c>
      <c r="H33" s="1" t="s">
        <v>71</v>
      </c>
      <c r="I33">
        <v>2</v>
      </c>
      <c r="J33">
        <v>35</v>
      </c>
      <c r="K33">
        <v>0</v>
      </c>
      <c r="L33">
        <v>70</v>
      </c>
      <c r="M33" s="1" t="s">
        <v>33</v>
      </c>
    </row>
    <row r="34" spans="1:13" x14ac:dyDescent="0.3">
      <c r="A34" s="1" t="s">
        <v>13</v>
      </c>
      <c r="B34" s="2">
        <v>46045</v>
      </c>
      <c r="C34" s="1" t="s">
        <v>14</v>
      </c>
      <c r="D34" s="1" t="s">
        <v>34</v>
      </c>
      <c r="E34" s="1" t="s">
        <v>35</v>
      </c>
      <c r="F34" s="1" t="s">
        <v>28</v>
      </c>
      <c r="G34" s="1" t="s">
        <v>41</v>
      </c>
      <c r="H34" s="1" t="s">
        <v>71</v>
      </c>
      <c r="I34">
        <v>2</v>
      </c>
      <c r="J34">
        <v>120</v>
      </c>
      <c r="K34">
        <v>0</v>
      </c>
      <c r="L34">
        <v>240</v>
      </c>
      <c r="M34" s="1" t="s">
        <v>20</v>
      </c>
    </row>
    <row r="35" spans="1:13" x14ac:dyDescent="0.3">
      <c r="A35" s="1" t="s">
        <v>13</v>
      </c>
      <c r="B35" s="2">
        <v>46053</v>
      </c>
      <c r="C35" s="1" t="s">
        <v>14</v>
      </c>
      <c r="D35" s="1" t="s">
        <v>72</v>
      </c>
      <c r="E35" s="1" t="s">
        <v>73</v>
      </c>
      <c r="F35" s="1" t="s">
        <v>17</v>
      </c>
      <c r="G35" s="1" t="s">
        <v>18</v>
      </c>
      <c r="H35" s="1" t="s">
        <v>32</v>
      </c>
      <c r="I35">
        <v>3</v>
      </c>
      <c r="J35">
        <v>170</v>
      </c>
      <c r="K35">
        <v>0</v>
      </c>
      <c r="L35">
        <v>510</v>
      </c>
      <c r="M35" s="1" t="s">
        <v>25</v>
      </c>
    </row>
    <row r="36" spans="1:13" x14ac:dyDescent="0.3">
      <c r="A36" s="1" t="s">
        <v>13</v>
      </c>
      <c r="B36" s="2">
        <v>46041</v>
      </c>
      <c r="C36" s="1" t="s">
        <v>14</v>
      </c>
      <c r="D36" s="1" t="s">
        <v>65</v>
      </c>
      <c r="E36" s="1" t="s">
        <v>66</v>
      </c>
      <c r="F36" s="1" t="s">
        <v>40</v>
      </c>
      <c r="G36" s="1" t="s">
        <v>41</v>
      </c>
      <c r="H36" s="1" t="s">
        <v>74</v>
      </c>
      <c r="I36">
        <v>2</v>
      </c>
      <c r="J36">
        <v>210</v>
      </c>
      <c r="K36">
        <v>0.05</v>
      </c>
      <c r="L36">
        <v>399</v>
      </c>
      <c r="M36" s="1" t="s">
        <v>20</v>
      </c>
    </row>
    <row r="37" spans="1:13" x14ac:dyDescent="0.3">
      <c r="A37" s="1" t="s">
        <v>13</v>
      </c>
      <c r="B37" s="2">
        <v>46050</v>
      </c>
      <c r="C37" s="1" t="s">
        <v>14</v>
      </c>
      <c r="D37" s="1" t="s">
        <v>72</v>
      </c>
      <c r="E37" s="1" t="s">
        <v>73</v>
      </c>
      <c r="F37" s="1" t="s">
        <v>17</v>
      </c>
      <c r="G37" s="1" t="s">
        <v>41</v>
      </c>
      <c r="H37" s="1" t="s">
        <v>75</v>
      </c>
      <c r="I37">
        <v>5</v>
      </c>
      <c r="J37">
        <v>170</v>
      </c>
      <c r="K37">
        <v>0</v>
      </c>
      <c r="L37">
        <v>850</v>
      </c>
      <c r="M37" s="1" t="s">
        <v>20</v>
      </c>
    </row>
    <row r="38" spans="1:13" x14ac:dyDescent="0.3">
      <c r="A38" s="1" t="s">
        <v>13</v>
      </c>
      <c r="B38" s="2">
        <v>46043</v>
      </c>
      <c r="C38" s="1" t="s">
        <v>14</v>
      </c>
      <c r="D38" s="1" t="s">
        <v>43</v>
      </c>
      <c r="E38" s="1" t="s">
        <v>44</v>
      </c>
      <c r="F38" s="1" t="s">
        <v>45</v>
      </c>
      <c r="G38" s="1" t="s">
        <v>41</v>
      </c>
      <c r="H38" s="1" t="s">
        <v>75</v>
      </c>
      <c r="I38">
        <v>5</v>
      </c>
      <c r="J38">
        <v>140</v>
      </c>
      <c r="K38">
        <v>0</v>
      </c>
      <c r="L38">
        <v>700</v>
      </c>
      <c r="M38" s="1" t="s">
        <v>20</v>
      </c>
    </row>
    <row r="39" spans="1:13" x14ac:dyDescent="0.3">
      <c r="A39" s="1" t="s">
        <v>13</v>
      </c>
      <c r="B39" s="2">
        <v>46048</v>
      </c>
      <c r="C39" s="1" t="s">
        <v>14</v>
      </c>
      <c r="D39" s="1" t="s">
        <v>43</v>
      </c>
      <c r="E39" s="1" t="s">
        <v>44</v>
      </c>
      <c r="F39" s="1" t="s">
        <v>45</v>
      </c>
      <c r="G39" s="1" t="s">
        <v>18</v>
      </c>
      <c r="H39" s="1" t="s">
        <v>19</v>
      </c>
      <c r="I39">
        <v>3</v>
      </c>
      <c r="J39">
        <v>140</v>
      </c>
      <c r="K39">
        <v>0</v>
      </c>
      <c r="L39">
        <v>420</v>
      </c>
      <c r="M39" s="1" t="s">
        <v>25</v>
      </c>
    </row>
    <row r="40" spans="1:13" x14ac:dyDescent="0.3">
      <c r="A40" s="1" t="s">
        <v>13</v>
      </c>
      <c r="B40" s="2">
        <v>46029</v>
      </c>
      <c r="C40" s="1" t="s">
        <v>14</v>
      </c>
      <c r="D40" s="1" t="s">
        <v>21</v>
      </c>
      <c r="E40" s="1" t="s">
        <v>22</v>
      </c>
      <c r="F40" s="1" t="s">
        <v>23</v>
      </c>
      <c r="G40" s="1" t="s">
        <v>18</v>
      </c>
      <c r="H40" s="1" t="s">
        <v>53</v>
      </c>
      <c r="I40">
        <v>4</v>
      </c>
      <c r="J40">
        <v>220</v>
      </c>
      <c r="K40">
        <v>0</v>
      </c>
      <c r="L40">
        <v>880</v>
      </c>
      <c r="M40" s="1" t="s">
        <v>20</v>
      </c>
    </row>
    <row r="41" spans="1:13" x14ac:dyDescent="0.3">
      <c r="A41" s="1" t="s">
        <v>13</v>
      </c>
      <c r="B41" s="2">
        <v>46027</v>
      </c>
      <c r="C41" s="1" t="s">
        <v>14</v>
      </c>
      <c r="D41" s="1" t="s">
        <v>47</v>
      </c>
      <c r="E41" s="1" t="s">
        <v>48</v>
      </c>
      <c r="F41" s="1" t="s">
        <v>45</v>
      </c>
      <c r="G41" s="1" t="s">
        <v>18</v>
      </c>
      <c r="H41" s="1" t="s">
        <v>76</v>
      </c>
      <c r="I41">
        <v>3</v>
      </c>
      <c r="J41">
        <v>85</v>
      </c>
      <c r="K41">
        <v>0.15</v>
      </c>
      <c r="L41">
        <v>216.75</v>
      </c>
      <c r="M41" s="1" t="s">
        <v>20</v>
      </c>
    </row>
    <row r="42" spans="1:13" x14ac:dyDescent="0.3">
      <c r="A42" s="1" t="s">
        <v>13</v>
      </c>
      <c r="B42" s="2">
        <v>46030</v>
      </c>
      <c r="C42" s="1" t="s">
        <v>14</v>
      </c>
      <c r="D42" s="1" t="s">
        <v>26</v>
      </c>
      <c r="E42" s="1" t="s">
        <v>27</v>
      </c>
      <c r="F42" s="1" t="s">
        <v>28</v>
      </c>
      <c r="G42" s="1" t="s">
        <v>41</v>
      </c>
      <c r="H42" s="1" t="s">
        <v>32</v>
      </c>
      <c r="I42">
        <v>1</v>
      </c>
      <c r="J42">
        <v>180</v>
      </c>
      <c r="K42">
        <v>0</v>
      </c>
      <c r="L42">
        <v>180</v>
      </c>
      <c r="M42" s="1" t="s">
        <v>37</v>
      </c>
    </row>
    <row r="43" spans="1:13" x14ac:dyDescent="0.3">
      <c r="A43" s="1" t="s">
        <v>13</v>
      </c>
      <c r="B43" s="2">
        <v>46050</v>
      </c>
      <c r="C43" s="1" t="s">
        <v>14</v>
      </c>
      <c r="D43" s="1" t="s">
        <v>72</v>
      </c>
      <c r="E43" s="1" t="s">
        <v>73</v>
      </c>
      <c r="F43" s="1" t="s">
        <v>17</v>
      </c>
      <c r="G43" s="1" t="s">
        <v>41</v>
      </c>
      <c r="H43" s="1" t="s">
        <v>68</v>
      </c>
      <c r="I43">
        <v>4</v>
      </c>
      <c r="J43">
        <v>170</v>
      </c>
      <c r="K43">
        <v>0</v>
      </c>
      <c r="L43">
        <v>680</v>
      </c>
      <c r="M43" s="1" t="s">
        <v>20</v>
      </c>
    </row>
    <row r="44" spans="1:13" x14ac:dyDescent="0.3">
      <c r="A44" s="1" t="s">
        <v>13</v>
      </c>
      <c r="B44" s="2">
        <v>46039</v>
      </c>
      <c r="C44" s="1" t="s">
        <v>14</v>
      </c>
      <c r="D44" s="1" t="s">
        <v>21</v>
      </c>
      <c r="E44" s="1" t="s">
        <v>22</v>
      </c>
      <c r="F44" s="1" t="s">
        <v>23</v>
      </c>
      <c r="G44" s="1" t="s">
        <v>18</v>
      </c>
      <c r="H44" s="1" t="s">
        <v>32</v>
      </c>
      <c r="I44">
        <v>2</v>
      </c>
      <c r="J44">
        <v>220</v>
      </c>
      <c r="K44">
        <v>0</v>
      </c>
      <c r="L44">
        <v>440</v>
      </c>
      <c r="M44" s="1" t="s">
        <v>37</v>
      </c>
    </row>
    <row r="45" spans="1:13" x14ac:dyDescent="0.3">
      <c r="A45" s="1" t="s">
        <v>13</v>
      </c>
      <c r="B45" s="2">
        <v>46053</v>
      </c>
      <c r="C45" s="1" t="s">
        <v>14</v>
      </c>
      <c r="D45" s="1" t="s">
        <v>30</v>
      </c>
      <c r="E45" s="1" t="s">
        <v>31</v>
      </c>
      <c r="F45" s="1" t="s">
        <v>23</v>
      </c>
      <c r="G45" s="1" t="s">
        <v>41</v>
      </c>
      <c r="H45" s="1" t="s">
        <v>46</v>
      </c>
      <c r="I45">
        <v>4</v>
      </c>
      <c r="J45">
        <v>2800</v>
      </c>
      <c r="K45">
        <v>0</v>
      </c>
      <c r="L45">
        <v>11200</v>
      </c>
      <c r="M45" s="1" t="s">
        <v>25</v>
      </c>
    </row>
    <row r="46" spans="1:13" x14ac:dyDescent="0.3">
      <c r="A46" s="1" t="s">
        <v>13</v>
      </c>
      <c r="B46" s="2">
        <v>46049</v>
      </c>
      <c r="C46" s="1" t="s">
        <v>14</v>
      </c>
      <c r="D46" s="1" t="s">
        <v>30</v>
      </c>
      <c r="E46" s="1" t="s">
        <v>31</v>
      </c>
      <c r="F46" s="1" t="s">
        <v>23</v>
      </c>
      <c r="G46" s="1" t="s">
        <v>18</v>
      </c>
      <c r="H46" s="1" t="s">
        <v>29</v>
      </c>
      <c r="I46">
        <v>4</v>
      </c>
      <c r="J46">
        <v>2800</v>
      </c>
      <c r="K46">
        <v>0.05</v>
      </c>
      <c r="L46">
        <v>10640</v>
      </c>
      <c r="M46" s="1" t="s">
        <v>25</v>
      </c>
    </row>
    <row r="47" spans="1:13" x14ac:dyDescent="0.3">
      <c r="A47" s="1" t="s">
        <v>13</v>
      </c>
      <c r="B47" s="2">
        <v>46047</v>
      </c>
      <c r="C47" s="1" t="s">
        <v>14</v>
      </c>
      <c r="D47" s="1" t="s">
        <v>61</v>
      </c>
      <c r="E47" s="1" t="s">
        <v>62</v>
      </c>
      <c r="F47" s="1" t="s">
        <v>40</v>
      </c>
      <c r="G47" s="1" t="s">
        <v>18</v>
      </c>
      <c r="H47" s="1" t="s">
        <v>56</v>
      </c>
      <c r="I47">
        <v>3</v>
      </c>
      <c r="J47">
        <v>160</v>
      </c>
      <c r="K47">
        <v>0.05</v>
      </c>
      <c r="L47">
        <v>456</v>
      </c>
      <c r="M47" s="1" t="s">
        <v>25</v>
      </c>
    </row>
    <row r="48" spans="1:13" x14ac:dyDescent="0.3">
      <c r="A48" s="1" t="s">
        <v>13</v>
      </c>
      <c r="B48" s="2">
        <v>46032</v>
      </c>
      <c r="C48" s="1" t="s">
        <v>14</v>
      </c>
      <c r="D48" s="1" t="s">
        <v>38</v>
      </c>
      <c r="E48" s="1" t="s">
        <v>39</v>
      </c>
      <c r="F48" s="1" t="s">
        <v>40</v>
      </c>
      <c r="G48" s="1" t="s">
        <v>41</v>
      </c>
      <c r="H48" s="1" t="s">
        <v>60</v>
      </c>
      <c r="I48">
        <v>2</v>
      </c>
      <c r="J48">
        <v>55</v>
      </c>
      <c r="K48">
        <v>0</v>
      </c>
      <c r="L48">
        <v>110</v>
      </c>
      <c r="M48" s="1" t="s">
        <v>20</v>
      </c>
    </row>
    <row r="49" spans="1:13" x14ac:dyDescent="0.3">
      <c r="A49" s="1" t="s">
        <v>13</v>
      </c>
      <c r="B49" s="2">
        <v>46026</v>
      </c>
      <c r="C49" s="1" t="s">
        <v>14</v>
      </c>
      <c r="D49" s="1" t="s">
        <v>72</v>
      </c>
      <c r="E49" s="1" t="s">
        <v>73</v>
      </c>
      <c r="F49" s="1" t="s">
        <v>17</v>
      </c>
      <c r="G49" s="1" t="s">
        <v>41</v>
      </c>
      <c r="H49" s="1" t="s">
        <v>56</v>
      </c>
      <c r="I49">
        <v>5</v>
      </c>
      <c r="J49">
        <v>170</v>
      </c>
      <c r="K49">
        <v>0.05</v>
      </c>
      <c r="L49">
        <v>807.5</v>
      </c>
      <c r="M49" s="1" t="s">
        <v>20</v>
      </c>
    </row>
    <row r="50" spans="1:13" x14ac:dyDescent="0.3">
      <c r="A50" s="1" t="s">
        <v>13</v>
      </c>
      <c r="B50" s="2">
        <v>46034</v>
      </c>
      <c r="C50" s="1" t="s">
        <v>14</v>
      </c>
      <c r="D50" s="1" t="s">
        <v>49</v>
      </c>
      <c r="E50" s="1" t="s">
        <v>50</v>
      </c>
      <c r="F50" s="1" t="s">
        <v>45</v>
      </c>
      <c r="G50" s="1" t="s">
        <v>41</v>
      </c>
      <c r="H50" s="1" t="s">
        <v>71</v>
      </c>
      <c r="I50">
        <v>3</v>
      </c>
      <c r="J50">
        <v>35</v>
      </c>
      <c r="K50">
        <v>0.05</v>
      </c>
      <c r="L50">
        <v>99.75</v>
      </c>
      <c r="M50" s="1" t="s">
        <v>37</v>
      </c>
    </row>
    <row r="51" spans="1:13" x14ac:dyDescent="0.3">
      <c r="A51" s="1" t="s">
        <v>13</v>
      </c>
      <c r="B51" s="2">
        <v>46045</v>
      </c>
      <c r="C51" s="1" t="s">
        <v>14</v>
      </c>
      <c r="D51" s="1" t="s">
        <v>65</v>
      </c>
      <c r="E51" s="1" t="s">
        <v>66</v>
      </c>
      <c r="F51" s="1" t="s">
        <v>40</v>
      </c>
      <c r="G51" s="1" t="s">
        <v>18</v>
      </c>
      <c r="H51" s="1" t="s">
        <v>71</v>
      </c>
      <c r="I51">
        <v>1</v>
      </c>
      <c r="J51">
        <v>210</v>
      </c>
      <c r="K51">
        <v>0</v>
      </c>
      <c r="L51">
        <v>210</v>
      </c>
      <c r="M51" s="1" t="s">
        <v>37</v>
      </c>
    </row>
    <row r="52" spans="1:13" x14ac:dyDescent="0.3">
      <c r="A52" s="1" t="s">
        <v>13</v>
      </c>
      <c r="B52" s="2">
        <v>46052</v>
      </c>
      <c r="C52" s="1" t="s">
        <v>14</v>
      </c>
      <c r="D52" s="1" t="s">
        <v>54</v>
      </c>
      <c r="E52" s="1" t="s">
        <v>55</v>
      </c>
      <c r="F52" s="1" t="s">
        <v>23</v>
      </c>
      <c r="G52" s="1" t="s">
        <v>18</v>
      </c>
      <c r="H52" s="1" t="s">
        <v>74</v>
      </c>
      <c r="I52">
        <v>5</v>
      </c>
      <c r="J52">
        <v>75</v>
      </c>
      <c r="K52">
        <v>0</v>
      </c>
      <c r="L52">
        <v>375</v>
      </c>
      <c r="M52" s="1" t="s">
        <v>20</v>
      </c>
    </row>
    <row r="53" spans="1:13" x14ac:dyDescent="0.3">
      <c r="A53" s="1" t="s">
        <v>13</v>
      </c>
      <c r="B53" s="2">
        <v>46040</v>
      </c>
      <c r="C53" s="1" t="s">
        <v>14</v>
      </c>
      <c r="D53" s="1" t="s">
        <v>38</v>
      </c>
      <c r="E53" s="1" t="s">
        <v>39</v>
      </c>
      <c r="F53" s="1" t="s">
        <v>40</v>
      </c>
      <c r="G53" s="1" t="s">
        <v>18</v>
      </c>
      <c r="H53" s="1" t="s">
        <v>32</v>
      </c>
      <c r="I53">
        <v>5</v>
      </c>
      <c r="J53">
        <v>55</v>
      </c>
      <c r="K53">
        <v>0.1</v>
      </c>
      <c r="L53">
        <v>247.5</v>
      </c>
      <c r="M53" s="1" t="s">
        <v>37</v>
      </c>
    </row>
    <row r="54" spans="1:13" x14ac:dyDescent="0.3">
      <c r="A54" s="1" t="s">
        <v>13</v>
      </c>
      <c r="B54" s="2">
        <v>46026</v>
      </c>
      <c r="C54" s="1" t="s">
        <v>14</v>
      </c>
      <c r="D54" s="1" t="s">
        <v>49</v>
      </c>
      <c r="E54" s="1" t="s">
        <v>50</v>
      </c>
      <c r="F54" s="1" t="s">
        <v>45</v>
      </c>
      <c r="G54" s="1" t="s">
        <v>18</v>
      </c>
      <c r="H54" s="1" t="s">
        <v>63</v>
      </c>
      <c r="I54">
        <v>3</v>
      </c>
      <c r="J54">
        <v>35</v>
      </c>
      <c r="K54">
        <v>0</v>
      </c>
      <c r="L54">
        <v>105</v>
      </c>
      <c r="M54" s="1" t="s">
        <v>25</v>
      </c>
    </row>
    <row r="55" spans="1:13" x14ac:dyDescent="0.3">
      <c r="A55" s="1" t="s">
        <v>13</v>
      </c>
      <c r="B55" s="2">
        <v>46048</v>
      </c>
      <c r="C55" s="1" t="s">
        <v>14</v>
      </c>
      <c r="D55" s="1" t="s">
        <v>38</v>
      </c>
      <c r="E55" s="1" t="s">
        <v>39</v>
      </c>
      <c r="F55" s="1" t="s">
        <v>40</v>
      </c>
      <c r="G55" s="1" t="s">
        <v>41</v>
      </c>
      <c r="H55" s="1" t="s">
        <v>64</v>
      </c>
      <c r="I55">
        <v>3</v>
      </c>
      <c r="J55">
        <v>55</v>
      </c>
      <c r="K55">
        <v>0.15</v>
      </c>
      <c r="L55">
        <v>140.25</v>
      </c>
      <c r="M55" s="1" t="s">
        <v>37</v>
      </c>
    </row>
    <row r="56" spans="1:13" x14ac:dyDescent="0.3">
      <c r="A56" s="1" t="s">
        <v>13</v>
      </c>
      <c r="B56" s="2">
        <v>46035</v>
      </c>
      <c r="C56" s="1" t="s">
        <v>14</v>
      </c>
      <c r="D56" s="1" t="s">
        <v>21</v>
      </c>
      <c r="E56" s="1" t="s">
        <v>22</v>
      </c>
      <c r="F56" s="1" t="s">
        <v>23</v>
      </c>
      <c r="G56" s="1" t="s">
        <v>41</v>
      </c>
      <c r="H56" s="1" t="s">
        <v>77</v>
      </c>
      <c r="I56">
        <v>5</v>
      </c>
      <c r="J56">
        <v>220</v>
      </c>
      <c r="K56">
        <v>0.05</v>
      </c>
      <c r="L56">
        <v>1045</v>
      </c>
      <c r="M56" s="1" t="s">
        <v>25</v>
      </c>
    </row>
    <row r="57" spans="1:13" x14ac:dyDescent="0.3">
      <c r="A57" s="1" t="s">
        <v>13</v>
      </c>
      <c r="B57" s="2">
        <v>46037</v>
      </c>
      <c r="C57" s="1" t="s">
        <v>14</v>
      </c>
      <c r="D57" s="1" t="s">
        <v>38</v>
      </c>
      <c r="E57" s="1" t="s">
        <v>39</v>
      </c>
      <c r="F57" s="1" t="s">
        <v>40</v>
      </c>
      <c r="G57" s="1" t="s">
        <v>18</v>
      </c>
      <c r="H57" s="1" t="s">
        <v>78</v>
      </c>
      <c r="I57">
        <v>1</v>
      </c>
      <c r="J57">
        <v>55</v>
      </c>
      <c r="K57">
        <v>0</v>
      </c>
      <c r="L57">
        <v>55</v>
      </c>
      <c r="M57" s="1" t="s">
        <v>33</v>
      </c>
    </row>
    <row r="58" spans="1:13" x14ac:dyDescent="0.3">
      <c r="A58" s="1" t="s">
        <v>13</v>
      </c>
      <c r="B58" s="2">
        <v>46050</v>
      </c>
      <c r="C58" s="1" t="s">
        <v>14</v>
      </c>
      <c r="D58" s="1" t="s">
        <v>61</v>
      </c>
      <c r="E58" s="1" t="s">
        <v>62</v>
      </c>
      <c r="F58" s="1" t="s">
        <v>40</v>
      </c>
      <c r="G58" s="1" t="s">
        <v>41</v>
      </c>
      <c r="H58" s="1" t="s">
        <v>71</v>
      </c>
      <c r="I58">
        <v>5</v>
      </c>
      <c r="J58">
        <v>160</v>
      </c>
      <c r="K58">
        <v>0.1</v>
      </c>
      <c r="L58">
        <v>720</v>
      </c>
      <c r="M58" s="1" t="s">
        <v>33</v>
      </c>
    </row>
    <row r="59" spans="1:13" x14ac:dyDescent="0.3">
      <c r="A59" s="1" t="s">
        <v>13</v>
      </c>
      <c r="B59" s="2">
        <v>46033</v>
      </c>
      <c r="C59" s="1" t="s">
        <v>14</v>
      </c>
      <c r="D59" s="1" t="s">
        <v>38</v>
      </c>
      <c r="E59" s="1" t="s">
        <v>39</v>
      </c>
      <c r="F59" s="1" t="s">
        <v>40</v>
      </c>
      <c r="G59" s="1" t="s">
        <v>41</v>
      </c>
      <c r="H59" s="1" t="s">
        <v>52</v>
      </c>
      <c r="I59">
        <v>4</v>
      </c>
      <c r="J59">
        <v>55</v>
      </c>
      <c r="K59">
        <v>0</v>
      </c>
      <c r="L59">
        <v>220</v>
      </c>
      <c r="M59" s="1" t="s">
        <v>20</v>
      </c>
    </row>
    <row r="60" spans="1:13" x14ac:dyDescent="0.3">
      <c r="A60" s="1" t="s">
        <v>13</v>
      </c>
      <c r="B60" s="2">
        <v>46029</v>
      </c>
      <c r="C60" s="1" t="s">
        <v>14</v>
      </c>
      <c r="D60" s="1" t="s">
        <v>65</v>
      </c>
      <c r="E60" s="1" t="s">
        <v>66</v>
      </c>
      <c r="F60" s="1" t="s">
        <v>40</v>
      </c>
      <c r="G60" s="1" t="s">
        <v>41</v>
      </c>
      <c r="H60" s="1" t="s">
        <v>32</v>
      </c>
      <c r="I60">
        <v>3</v>
      </c>
      <c r="J60">
        <v>210</v>
      </c>
      <c r="K60">
        <v>0.05</v>
      </c>
      <c r="L60">
        <v>598.5</v>
      </c>
      <c r="M60" s="1" t="s">
        <v>33</v>
      </c>
    </row>
    <row r="61" spans="1:13" x14ac:dyDescent="0.3">
      <c r="A61" s="1" t="s">
        <v>13</v>
      </c>
      <c r="B61" s="2">
        <v>46045</v>
      </c>
      <c r="C61" s="1" t="s">
        <v>14</v>
      </c>
      <c r="D61" s="1" t="s">
        <v>57</v>
      </c>
      <c r="E61" s="1" t="s">
        <v>58</v>
      </c>
      <c r="F61" s="1" t="s">
        <v>17</v>
      </c>
      <c r="G61" s="1" t="s">
        <v>41</v>
      </c>
      <c r="H61" s="1" t="s">
        <v>42</v>
      </c>
      <c r="I61">
        <v>3</v>
      </c>
      <c r="J61">
        <v>45</v>
      </c>
      <c r="K61">
        <v>0.05</v>
      </c>
      <c r="L61">
        <v>128.25</v>
      </c>
      <c r="M61" s="1" t="s">
        <v>20</v>
      </c>
    </row>
    <row r="62" spans="1:13" x14ac:dyDescent="0.3">
      <c r="A62" s="1" t="s">
        <v>13</v>
      </c>
      <c r="B62" s="2">
        <v>46048</v>
      </c>
      <c r="C62" s="1" t="s">
        <v>14</v>
      </c>
      <c r="D62" s="1" t="s">
        <v>65</v>
      </c>
      <c r="E62" s="1" t="s">
        <v>66</v>
      </c>
      <c r="F62" s="1" t="s">
        <v>40</v>
      </c>
      <c r="G62" s="1" t="s">
        <v>18</v>
      </c>
      <c r="H62" s="1" t="s">
        <v>64</v>
      </c>
      <c r="I62">
        <v>5</v>
      </c>
      <c r="J62">
        <v>210</v>
      </c>
      <c r="K62">
        <v>0.1</v>
      </c>
      <c r="L62">
        <v>945</v>
      </c>
      <c r="M62" s="1" t="s">
        <v>37</v>
      </c>
    </row>
    <row r="63" spans="1:13" x14ac:dyDescent="0.3">
      <c r="A63" s="1" t="s">
        <v>13</v>
      </c>
      <c r="B63" s="2">
        <v>46053</v>
      </c>
      <c r="C63" s="1" t="s">
        <v>14</v>
      </c>
      <c r="D63" s="1" t="s">
        <v>15</v>
      </c>
      <c r="E63" s="1" t="s">
        <v>16</v>
      </c>
      <c r="F63" s="1" t="s">
        <v>17</v>
      </c>
      <c r="G63" s="1" t="s">
        <v>41</v>
      </c>
      <c r="H63" s="1" t="s">
        <v>32</v>
      </c>
      <c r="I63">
        <v>4</v>
      </c>
      <c r="J63">
        <v>60</v>
      </c>
      <c r="K63">
        <v>0.1</v>
      </c>
      <c r="L63">
        <v>216</v>
      </c>
      <c r="M63" s="1" t="s">
        <v>25</v>
      </c>
    </row>
    <row r="64" spans="1:13" x14ac:dyDescent="0.3">
      <c r="A64" s="1" t="s">
        <v>13</v>
      </c>
      <c r="B64" s="2">
        <v>46046</v>
      </c>
      <c r="C64" s="1" t="s">
        <v>14</v>
      </c>
      <c r="D64" s="1" t="s">
        <v>69</v>
      </c>
      <c r="E64" s="1" t="s">
        <v>70</v>
      </c>
      <c r="F64" s="1" t="s">
        <v>28</v>
      </c>
      <c r="G64" s="1" t="s">
        <v>18</v>
      </c>
      <c r="H64" s="1" t="s">
        <v>36</v>
      </c>
      <c r="I64">
        <v>4</v>
      </c>
      <c r="J64">
        <v>95</v>
      </c>
      <c r="K64">
        <v>0.05</v>
      </c>
      <c r="L64">
        <v>361</v>
      </c>
      <c r="M64" s="1" t="s">
        <v>20</v>
      </c>
    </row>
    <row r="65" spans="1:13" x14ac:dyDescent="0.3">
      <c r="A65" s="1" t="s">
        <v>13</v>
      </c>
      <c r="B65" s="2">
        <v>46042</v>
      </c>
      <c r="C65" s="1" t="s">
        <v>14</v>
      </c>
      <c r="D65" s="1" t="s">
        <v>15</v>
      </c>
      <c r="E65" s="1" t="s">
        <v>16</v>
      </c>
      <c r="F65" s="1" t="s">
        <v>17</v>
      </c>
      <c r="G65" s="1" t="s">
        <v>41</v>
      </c>
      <c r="H65" s="1" t="s">
        <v>79</v>
      </c>
      <c r="I65">
        <v>3</v>
      </c>
      <c r="J65">
        <v>60</v>
      </c>
      <c r="K65">
        <v>0</v>
      </c>
      <c r="L65">
        <v>180</v>
      </c>
      <c r="M65" s="1" t="s">
        <v>33</v>
      </c>
    </row>
    <row r="66" spans="1:13" x14ac:dyDescent="0.3">
      <c r="A66" s="1" t="s">
        <v>13</v>
      </c>
      <c r="B66" s="2">
        <v>46033</v>
      </c>
      <c r="C66" s="1" t="s">
        <v>14</v>
      </c>
      <c r="D66" s="1" t="s">
        <v>43</v>
      </c>
      <c r="E66" s="1" t="s">
        <v>44</v>
      </c>
      <c r="F66" s="1" t="s">
        <v>45</v>
      </c>
      <c r="G66" s="1" t="s">
        <v>18</v>
      </c>
      <c r="H66" s="1" t="s">
        <v>80</v>
      </c>
      <c r="I66">
        <v>1</v>
      </c>
      <c r="J66">
        <v>140</v>
      </c>
      <c r="K66">
        <v>0</v>
      </c>
      <c r="L66">
        <v>140</v>
      </c>
      <c r="M66" s="1" t="s">
        <v>33</v>
      </c>
    </row>
    <row r="67" spans="1:13" x14ac:dyDescent="0.3">
      <c r="A67" s="1" t="s">
        <v>13</v>
      </c>
      <c r="B67" s="2">
        <v>46028</v>
      </c>
      <c r="C67" s="1" t="s">
        <v>14</v>
      </c>
      <c r="D67" s="1" t="s">
        <v>30</v>
      </c>
      <c r="E67" s="1" t="s">
        <v>31</v>
      </c>
      <c r="F67" s="1" t="s">
        <v>23</v>
      </c>
      <c r="G67" s="1" t="s">
        <v>18</v>
      </c>
      <c r="H67" s="1" t="s">
        <v>81</v>
      </c>
      <c r="I67">
        <v>5</v>
      </c>
      <c r="J67">
        <v>2800</v>
      </c>
      <c r="K67">
        <v>0.15</v>
      </c>
      <c r="L67">
        <v>11900</v>
      </c>
      <c r="M67" s="1" t="s">
        <v>37</v>
      </c>
    </row>
    <row r="68" spans="1:13" x14ac:dyDescent="0.3">
      <c r="A68" s="1" t="s">
        <v>13</v>
      </c>
      <c r="B68" s="2">
        <v>46032</v>
      </c>
      <c r="C68" s="1" t="s">
        <v>14</v>
      </c>
      <c r="D68" s="1" t="s">
        <v>61</v>
      </c>
      <c r="E68" s="1" t="s">
        <v>62</v>
      </c>
      <c r="F68" s="1" t="s">
        <v>40</v>
      </c>
      <c r="G68" s="1" t="s">
        <v>18</v>
      </c>
      <c r="H68" s="1" t="s">
        <v>82</v>
      </c>
      <c r="I68">
        <v>2</v>
      </c>
      <c r="J68">
        <v>160</v>
      </c>
      <c r="K68">
        <v>0.05</v>
      </c>
      <c r="L68">
        <v>304</v>
      </c>
      <c r="M68" s="1" t="s">
        <v>25</v>
      </c>
    </row>
    <row r="69" spans="1:13" x14ac:dyDescent="0.3">
      <c r="A69" s="1" t="s">
        <v>13</v>
      </c>
      <c r="B69" s="2">
        <v>46046</v>
      </c>
      <c r="C69" s="1" t="s">
        <v>14</v>
      </c>
      <c r="D69" s="1" t="s">
        <v>43</v>
      </c>
      <c r="E69" s="1" t="s">
        <v>44</v>
      </c>
      <c r="F69" s="1" t="s">
        <v>45</v>
      </c>
      <c r="G69" s="1" t="s">
        <v>41</v>
      </c>
      <c r="H69" s="1" t="s">
        <v>83</v>
      </c>
      <c r="I69">
        <v>2</v>
      </c>
      <c r="J69">
        <v>140</v>
      </c>
      <c r="K69">
        <v>0</v>
      </c>
      <c r="L69">
        <v>280</v>
      </c>
      <c r="M69" s="1" t="s">
        <v>37</v>
      </c>
    </row>
    <row r="70" spans="1:13" x14ac:dyDescent="0.3">
      <c r="A70" s="1" t="s">
        <v>13</v>
      </c>
      <c r="B70" s="2">
        <v>46024</v>
      </c>
      <c r="C70" s="1" t="s">
        <v>14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83</v>
      </c>
      <c r="I70">
        <v>2</v>
      </c>
      <c r="J70">
        <v>60</v>
      </c>
      <c r="K70">
        <v>0.1</v>
      </c>
      <c r="L70">
        <v>108</v>
      </c>
      <c r="M70" s="1" t="s">
        <v>20</v>
      </c>
    </row>
    <row r="71" spans="1:13" x14ac:dyDescent="0.3">
      <c r="A71" s="1" t="s">
        <v>13</v>
      </c>
      <c r="B71" s="2">
        <v>46042</v>
      </c>
      <c r="C71" s="1" t="s">
        <v>14</v>
      </c>
      <c r="D71" s="1" t="s">
        <v>72</v>
      </c>
      <c r="E71" s="1" t="s">
        <v>73</v>
      </c>
      <c r="F71" s="1" t="s">
        <v>17</v>
      </c>
      <c r="G71" s="1" t="s">
        <v>41</v>
      </c>
      <c r="H71" s="1" t="s">
        <v>53</v>
      </c>
      <c r="I71">
        <v>1</v>
      </c>
      <c r="J71">
        <v>170</v>
      </c>
      <c r="K71">
        <v>0</v>
      </c>
      <c r="L71">
        <v>170</v>
      </c>
      <c r="M71" s="1" t="s">
        <v>20</v>
      </c>
    </row>
    <row r="72" spans="1:13" x14ac:dyDescent="0.3">
      <c r="A72" s="1" t="s">
        <v>13</v>
      </c>
      <c r="B72" s="2">
        <v>46051</v>
      </c>
      <c r="C72" s="1" t="s">
        <v>14</v>
      </c>
      <c r="D72" s="1" t="s">
        <v>61</v>
      </c>
      <c r="E72" s="1" t="s">
        <v>62</v>
      </c>
      <c r="F72" s="1" t="s">
        <v>40</v>
      </c>
      <c r="G72" s="1" t="s">
        <v>41</v>
      </c>
      <c r="H72" s="1" t="s">
        <v>60</v>
      </c>
      <c r="I72">
        <v>5</v>
      </c>
      <c r="J72">
        <v>160</v>
      </c>
      <c r="K72">
        <v>0</v>
      </c>
      <c r="L72">
        <v>800</v>
      </c>
      <c r="M72" s="1" t="s">
        <v>20</v>
      </c>
    </row>
    <row r="73" spans="1:13" x14ac:dyDescent="0.3">
      <c r="A73" s="1" t="s">
        <v>13</v>
      </c>
      <c r="B73" s="2">
        <v>46046</v>
      </c>
      <c r="C73" s="1" t="s">
        <v>14</v>
      </c>
      <c r="D73" s="1" t="s">
        <v>21</v>
      </c>
      <c r="E73" s="1" t="s">
        <v>22</v>
      </c>
      <c r="F73" s="1" t="s">
        <v>23</v>
      </c>
      <c r="G73" s="1" t="s">
        <v>18</v>
      </c>
      <c r="H73" s="1" t="s">
        <v>67</v>
      </c>
      <c r="I73">
        <v>1</v>
      </c>
      <c r="J73">
        <v>220</v>
      </c>
      <c r="K73">
        <v>0</v>
      </c>
      <c r="L73">
        <v>220</v>
      </c>
      <c r="M73" s="1" t="s">
        <v>33</v>
      </c>
    </row>
    <row r="74" spans="1:13" x14ac:dyDescent="0.3">
      <c r="A74" s="1" t="s">
        <v>13</v>
      </c>
      <c r="B74" s="2">
        <v>46041</v>
      </c>
      <c r="C74" s="1" t="s">
        <v>14</v>
      </c>
      <c r="D74" s="1" t="s">
        <v>30</v>
      </c>
      <c r="E74" s="1" t="s">
        <v>31</v>
      </c>
      <c r="F74" s="1" t="s">
        <v>23</v>
      </c>
      <c r="G74" s="1" t="s">
        <v>41</v>
      </c>
      <c r="H74" s="1" t="s">
        <v>84</v>
      </c>
      <c r="I74">
        <v>3</v>
      </c>
      <c r="J74">
        <v>2800</v>
      </c>
      <c r="K74">
        <v>0.05</v>
      </c>
      <c r="L74">
        <v>7980</v>
      </c>
      <c r="M74" s="1" t="s">
        <v>37</v>
      </c>
    </row>
    <row r="75" spans="1:13" x14ac:dyDescent="0.3">
      <c r="A75" s="1" t="s">
        <v>13</v>
      </c>
      <c r="B75" s="2">
        <v>46035</v>
      </c>
      <c r="C75" s="1" t="s">
        <v>14</v>
      </c>
      <c r="D75" s="1" t="s">
        <v>72</v>
      </c>
      <c r="E75" s="1" t="s">
        <v>73</v>
      </c>
      <c r="F75" s="1" t="s">
        <v>17</v>
      </c>
      <c r="G75" s="1" t="s">
        <v>41</v>
      </c>
      <c r="H75" s="1" t="s">
        <v>24</v>
      </c>
      <c r="I75">
        <v>5</v>
      </c>
      <c r="J75">
        <v>170</v>
      </c>
      <c r="K75">
        <v>0</v>
      </c>
      <c r="L75">
        <v>850</v>
      </c>
      <c r="M75" s="1" t="s">
        <v>37</v>
      </c>
    </row>
    <row r="76" spans="1:13" x14ac:dyDescent="0.3">
      <c r="A76" s="1" t="s">
        <v>13</v>
      </c>
      <c r="B76" s="2">
        <v>46035</v>
      </c>
      <c r="C76" s="1" t="s">
        <v>14</v>
      </c>
      <c r="D76" s="1" t="s">
        <v>34</v>
      </c>
      <c r="E76" s="1" t="s">
        <v>35</v>
      </c>
      <c r="F76" s="1" t="s">
        <v>28</v>
      </c>
      <c r="G76" s="1" t="s">
        <v>41</v>
      </c>
      <c r="H76" s="1" t="s">
        <v>85</v>
      </c>
      <c r="I76">
        <v>2</v>
      </c>
      <c r="J76">
        <v>120</v>
      </c>
      <c r="K76">
        <v>0</v>
      </c>
      <c r="L76">
        <v>240</v>
      </c>
      <c r="M76" s="1" t="s">
        <v>20</v>
      </c>
    </row>
    <row r="77" spans="1:13" x14ac:dyDescent="0.3">
      <c r="A77" s="1" t="s">
        <v>13</v>
      </c>
      <c r="B77" s="2">
        <v>46043</v>
      </c>
      <c r="C77" s="1" t="s">
        <v>14</v>
      </c>
      <c r="D77" s="1" t="s">
        <v>34</v>
      </c>
      <c r="E77" s="1" t="s">
        <v>35</v>
      </c>
      <c r="F77" s="1" t="s">
        <v>28</v>
      </c>
      <c r="G77" s="1" t="s">
        <v>18</v>
      </c>
      <c r="H77" s="1" t="s">
        <v>82</v>
      </c>
      <c r="I77">
        <v>5</v>
      </c>
      <c r="J77">
        <v>120</v>
      </c>
      <c r="K77">
        <v>0</v>
      </c>
      <c r="L77">
        <v>600</v>
      </c>
      <c r="M77" s="1" t="s">
        <v>25</v>
      </c>
    </row>
    <row r="78" spans="1:13" x14ac:dyDescent="0.3">
      <c r="A78" s="1" t="s">
        <v>13</v>
      </c>
      <c r="B78" s="2">
        <v>46039</v>
      </c>
      <c r="C78" s="1" t="s">
        <v>14</v>
      </c>
      <c r="D78" s="1" t="s">
        <v>61</v>
      </c>
      <c r="E78" s="1" t="s">
        <v>62</v>
      </c>
      <c r="F78" s="1" t="s">
        <v>40</v>
      </c>
      <c r="G78" s="1" t="s">
        <v>18</v>
      </c>
      <c r="H78" s="1" t="s">
        <v>75</v>
      </c>
      <c r="I78">
        <v>2</v>
      </c>
      <c r="J78">
        <v>160</v>
      </c>
      <c r="K78">
        <v>0</v>
      </c>
      <c r="L78">
        <v>320</v>
      </c>
      <c r="M78" s="1" t="s">
        <v>20</v>
      </c>
    </row>
    <row r="79" spans="1:13" x14ac:dyDescent="0.3">
      <c r="A79" s="1" t="s">
        <v>13</v>
      </c>
      <c r="B79" s="2">
        <v>46027</v>
      </c>
      <c r="C79" s="1" t="s">
        <v>14</v>
      </c>
      <c r="D79" s="1" t="s">
        <v>69</v>
      </c>
      <c r="E79" s="1" t="s">
        <v>70</v>
      </c>
      <c r="F79" s="1" t="s">
        <v>28</v>
      </c>
      <c r="G79" s="1" t="s">
        <v>18</v>
      </c>
      <c r="H79" s="1" t="s">
        <v>59</v>
      </c>
      <c r="I79">
        <v>2</v>
      </c>
      <c r="J79">
        <v>95</v>
      </c>
      <c r="K79">
        <v>0</v>
      </c>
      <c r="L79">
        <v>190</v>
      </c>
      <c r="M79" s="1" t="s">
        <v>20</v>
      </c>
    </row>
    <row r="80" spans="1:13" x14ac:dyDescent="0.3">
      <c r="A80" s="1" t="s">
        <v>13</v>
      </c>
      <c r="B80" s="2">
        <v>46047</v>
      </c>
      <c r="C80" s="1" t="s">
        <v>14</v>
      </c>
      <c r="D80" s="1" t="s">
        <v>61</v>
      </c>
      <c r="E80" s="1" t="s">
        <v>62</v>
      </c>
      <c r="F80" s="1" t="s">
        <v>40</v>
      </c>
      <c r="G80" s="1" t="s">
        <v>41</v>
      </c>
      <c r="H80" s="1" t="s">
        <v>79</v>
      </c>
      <c r="I80">
        <v>5</v>
      </c>
      <c r="J80">
        <v>160</v>
      </c>
      <c r="K80">
        <v>0.1</v>
      </c>
      <c r="L80">
        <v>720</v>
      </c>
      <c r="M80" s="1" t="s">
        <v>25</v>
      </c>
    </row>
    <row r="81" spans="1:13" x14ac:dyDescent="0.3">
      <c r="A81" s="1" t="s">
        <v>13</v>
      </c>
      <c r="B81" s="2">
        <v>46025</v>
      </c>
      <c r="C81" s="1" t="s">
        <v>14</v>
      </c>
      <c r="D81" s="1" t="s">
        <v>65</v>
      </c>
      <c r="E81" s="1" t="s">
        <v>66</v>
      </c>
      <c r="F81" s="1" t="s">
        <v>40</v>
      </c>
      <c r="G81" s="1" t="s">
        <v>41</v>
      </c>
      <c r="H81" s="1" t="s">
        <v>52</v>
      </c>
      <c r="I81">
        <v>5</v>
      </c>
      <c r="J81">
        <v>210</v>
      </c>
      <c r="K81">
        <v>0.05</v>
      </c>
      <c r="L81">
        <v>997.5</v>
      </c>
      <c r="M81" s="1" t="s">
        <v>33</v>
      </c>
    </row>
    <row r="82" spans="1:13" x14ac:dyDescent="0.3">
      <c r="A82" s="1" t="s">
        <v>13</v>
      </c>
      <c r="B82" s="2">
        <v>46050</v>
      </c>
      <c r="C82" s="1" t="s">
        <v>14</v>
      </c>
      <c r="D82" s="1" t="s">
        <v>38</v>
      </c>
      <c r="E82" s="1" t="s">
        <v>39</v>
      </c>
      <c r="F82" s="1" t="s">
        <v>40</v>
      </c>
      <c r="G82" s="1" t="s">
        <v>18</v>
      </c>
      <c r="H82" s="1" t="s">
        <v>51</v>
      </c>
      <c r="I82">
        <v>2</v>
      </c>
      <c r="J82">
        <v>55</v>
      </c>
      <c r="K82">
        <v>0</v>
      </c>
      <c r="L82">
        <v>110</v>
      </c>
      <c r="M82" s="1" t="s">
        <v>37</v>
      </c>
    </row>
    <row r="83" spans="1:13" x14ac:dyDescent="0.3">
      <c r="A83" s="1" t="s">
        <v>13</v>
      </c>
      <c r="B83" s="2">
        <v>46024</v>
      </c>
      <c r="C83" s="1" t="s">
        <v>14</v>
      </c>
      <c r="D83" s="1" t="s">
        <v>54</v>
      </c>
      <c r="E83" s="1" t="s">
        <v>55</v>
      </c>
      <c r="F83" s="1" t="s">
        <v>23</v>
      </c>
      <c r="G83" s="1" t="s">
        <v>18</v>
      </c>
      <c r="H83" s="1" t="s">
        <v>78</v>
      </c>
      <c r="I83">
        <v>5</v>
      </c>
      <c r="J83">
        <v>75</v>
      </c>
      <c r="K83">
        <v>0</v>
      </c>
      <c r="L83">
        <v>375</v>
      </c>
      <c r="M83" s="1" t="s">
        <v>37</v>
      </c>
    </row>
    <row r="84" spans="1:13" x14ac:dyDescent="0.3">
      <c r="A84" s="1" t="s">
        <v>13</v>
      </c>
      <c r="B84" s="2">
        <v>46048</v>
      </c>
      <c r="C84" s="1" t="s">
        <v>14</v>
      </c>
      <c r="D84" s="1" t="s">
        <v>38</v>
      </c>
      <c r="E84" s="1" t="s">
        <v>39</v>
      </c>
      <c r="F84" s="1" t="s">
        <v>40</v>
      </c>
      <c r="G84" s="1" t="s">
        <v>18</v>
      </c>
      <c r="H84" s="1" t="s">
        <v>56</v>
      </c>
      <c r="I84">
        <v>5</v>
      </c>
      <c r="J84">
        <v>55</v>
      </c>
      <c r="K84">
        <v>0</v>
      </c>
      <c r="L84">
        <v>275</v>
      </c>
      <c r="M84" s="1" t="s">
        <v>20</v>
      </c>
    </row>
    <row r="85" spans="1:13" x14ac:dyDescent="0.3">
      <c r="A85" s="1" t="s">
        <v>13</v>
      </c>
      <c r="B85" s="2">
        <v>46024</v>
      </c>
      <c r="C85" s="1" t="s">
        <v>14</v>
      </c>
      <c r="D85" s="1" t="s">
        <v>49</v>
      </c>
      <c r="E85" s="1" t="s">
        <v>50</v>
      </c>
      <c r="F85" s="1" t="s">
        <v>45</v>
      </c>
      <c r="G85" s="1" t="s">
        <v>18</v>
      </c>
      <c r="H85" s="1" t="s">
        <v>19</v>
      </c>
      <c r="I85">
        <v>2</v>
      </c>
      <c r="J85">
        <v>35</v>
      </c>
      <c r="K85">
        <v>0.05</v>
      </c>
      <c r="L85">
        <v>66.5</v>
      </c>
      <c r="M85" s="1" t="s">
        <v>25</v>
      </c>
    </row>
    <row r="86" spans="1:13" x14ac:dyDescent="0.3">
      <c r="A86" s="1" t="s">
        <v>13</v>
      </c>
      <c r="B86" s="2">
        <v>46038</v>
      </c>
      <c r="C86" s="1" t="s">
        <v>14</v>
      </c>
      <c r="D86" s="1" t="s">
        <v>15</v>
      </c>
      <c r="E86" s="1" t="s">
        <v>16</v>
      </c>
      <c r="F86" s="1" t="s">
        <v>17</v>
      </c>
      <c r="G86" s="1" t="s">
        <v>41</v>
      </c>
      <c r="H86" s="1" t="s">
        <v>83</v>
      </c>
      <c r="I86">
        <v>1</v>
      </c>
      <c r="J86">
        <v>60</v>
      </c>
      <c r="K86">
        <v>0.15</v>
      </c>
      <c r="L86">
        <v>51</v>
      </c>
      <c r="M86" s="1" t="s">
        <v>33</v>
      </c>
    </row>
    <row r="87" spans="1:13" x14ac:dyDescent="0.3">
      <c r="A87" s="1" t="s">
        <v>13</v>
      </c>
      <c r="B87" s="2">
        <v>46051</v>
      </c>
      <c r="C87" s="1" t="s">
        <v>14</v>
      </c>
      <c r="D87" s="1" t="s">
        <v>49</v>
      </c>
      <c r="E87" s="1" t="s">
        <v>50</v>
      </c>
      <c r="F87" s="1" t="s">
        <v>45</v>
      </c>
      <c r="G87" s="1" t="s">
        <v>18</v>
      </c>
      <c r="H87" s="1" t="s">
        <v>68</v>
      </c>
      <c r="I87">
        <v>4</v>
      </c>
      <c r="J87">
        <v>35</v>
      </c>
      <c r="K87">
        <v>0</v>
      </c>
      <c r="L87">
        <v>140</v>
      </c>
      <c r="M87" s="1" t="s">
        <v>37</v>
      </c>
    </row>
    <row r="88" spans="1:13" x14ac:dyDescent="0.3">
      <c r="A88" s="1" t="s">
        <v>13</v>
      </c>
      <c r="B88" s="2">
        <v>46050</v>
      </c>
      <c r="C88" s="1" t="s">
        <v>14</v>
      </c>
      <c r="D88" s="1" t="s">
        <v>69</v>
      </c>
      <c r="E88" s="1" t="s">
        <v>70</v>
      </c>
      <c r="F88" s="1" t="s">
        <v>28</v>
      </c>
      <c r="G88" s="1" t="s">
        <v>18</v>
      </c>
      <c r="H88" s="1" t="s">
        <v>52</v>
      </c>
      <c r="I88">
        <v>5</v>
      </c>
      <c r="J88">
        <v>95</v>
      </c>
      <c r="K88">
        <v>0</v>
      </c>
      <c r="L88">
        <v>475</v>
      </c>
      <c r="M88" s="1" t="s">
        <v>37</v>
      </c>
    </row>
    <row r="89" spans="1:13" x14ac:dyDescent="0.3">
      <c r="A89" s="1" t="s">
        <v>13</v>
      </c>
      <c r="B89" s="2">
        <v>46047</v>
      </c>
      <c r="C89" s="1" t="s">
        <v>14</v>
      </c>
      <c r="D89" s="1" t="s">
        <v>65</v>
      </c>
      <c r="E89" s="1" t="s">
        <v>66</v>
      </c>
      <c r="F89" s="1" t="s">
        <v>40</v>
      </c>
      <c r="G89" s="1" t="s">
        <v>41</v>
      </c>
      <c r="H89" s="1" t="s">
        <v>60</v>
      </c>
      <c r="I89">
        <v>2</v>
      </c>
      <c r="J89">
        <v>210</v>
      </c>
      <c r="K89">
        <v>0.1</v>
      </c>
      <c r="L89">
        <v>378</v>
      </c>
      <c r="M89" s="1" t="s">
        <v>37</v>
      </c>
    </row>
    <row r="90" spans="1:13" x14ac:dyDescent="0.3">
      <c r="A90" s="1" t="s">
        <v>13</v>
      </c>
      <c r="B90" s="2">
        <v>46034</v>
      </c>
      <c r="C90" s="1" t="s">
        <v>14</v>
      </c>
      <c r="D90" s="1" t="s">
        <v>65</v>
      </c>
      <c r="E90" s="1" t="s">
        <v>66</v>
      </c>
      <c r="F90" s="1" t="s">
        <v>40</v>
      </c>
      <c r="G90" s="1" t="s">
        <v>41</v>
      </c>
      <c r="H90" s="1" t="s">
        <v>68</v>
      </c>
      <c r="I90">
        <v>2</v>
      </c>
      <c r="J90">
        <v>210</v>
      </c>
      <c r="K90">
        <v>0</v>
      </c>
      <c r="L90">
        <v>420</v>
      </c>
      <c r="M90" s="1" t="s">
        <v>25</v>
      </c>
    </row>
    <row r="91" spans="1:13" x14ac:dyDescent="0.3">
      <c r="A91" s="1" t="s">
        <v>13</v>
      </c>
      <c r="B91" s="2">
        <v>46052</v>
      </c>
      <c r="C91" s="1" t="s">
        <v>14</v>
      </c>
      <c r="D91" s="1" t="s">
        <v>30</v>
      </c>
      <c r="E91" s="1" t="s">
        <v>31</v>
      </c>
      <c r="F91" s="1" t="s">
        <v>23</v>
      </c>
      <c r="G91" s="1" t="s">
        <v>41</v>
      </c>
      <c r="H91" s="1" t="s">
        <v>19</v>
      </c>
      <c r="I91">
        <v>4</v>
      </c>
      <c r="J91">
        <v>2800</v>
      </c>
      <c r="K91">
        <v>0.05</v>
      </c>
      <c r="L91">
        <v>10640</v>
      </c>
      <c r="M91" s="1" t="s">
        <v>25</v>
      </c>
    </row>
    <row r="92" spans="1:13" x14ac:dyDescent="0.3">
      <c r="A92" s="1" t="s">
        <v>13</v>
      </c>
      <c r="B92" s="2">
        <v>46045</v>
      </c>
      <c r="C92" s="1" t="s">
        <v>14</v>
      </c>
      <c r="D92" s="1" t="s">
        <v>38</v>
      </c>
      <c r="E92" s="1" t="s">
        <v>39</v>
      </c>
      <c r="F92" s="1" t="s">
        <v>40</v>
      </c>
      <c r="G92" s="1" t="s">
        <v>41</v>
      </c>
      <c r="H92" s="1" t="s">
        <v>82</v>
      </c>
      <c r="I92">
        <v>4</v>
      </c>
      <c r="J92">
        <v>55</v>
      </c>
      <c r="K92">
        <v>0.05</v>
      </c>
      <c r="L92">
        <v>209</v>
      </c>
      <c r="M92" s="1" t="s">
        <v>37</v>
      </c>
    </row>
    <row r="93" spans="1:13" x14ac:dyDescent="0.3">
      <c r="A93" s="1" t="s">
        <v>13</v>
      </c>
      <c r="B93" s="2">
        <v>46050</v>
      </c>
      <c r="C93" s="1" t="s">
        <v>14</v>
      </c>
      <c r="D93" s="1" t="s">
        <v>61</v>
      </c>
      <c r="E93" s="1" t="s">
        <v>62</v>
      </c>
      <c r="F93" s="1" t="s">
        <v>40</v>
      </c>
      <c r="G93" s="1" t="s">
        <v>41</v>
      </c>
      <c r="H93" s="1" t="s">
        <v>32</v>
      </c>
      <c r="I93">
        <v>5</v>
      </c>
      <c r="J93">
        <v>160</v>
      </c>
      <c r="K93">
        <v>0</v>
      </c>
      <c r="L93">
        <v>800</v>
      </c>
      <c r="M93" s="1" t="s">
        <v>33</v>
      </c>
    </row>
    <row r="94" spans="1:13" x14ac:dyDescent="0.3">
      <c r="A94" s="1" t="s">
        <v>13</v>
      </c>
      <c r="B94" s="2">
        <v>46042</v>
      </c>
      <c r="C94" s="1" t="s">
        <v>14</v>
      </c>
      <c r="D94" s="1" t="s">
        <v>49</v>
      </c>
      <c r="E94" s="1" t="s">
        <v>50</v>
      </c>
      <c r="F94" s="1" t="s">
        <v>45</v>
      </c>
      <c r="G94" s="1" t="s">
        <v>18</v>
      </c>
      <c r="H94" s="1" t="s">
        <v>81</v>
      </c>
      <c r="I94">
        <v>5</v>
      </c>
      <c r="J94">
        <v>35</v>
      </c>
      <c r="K94">
        <v>0</v>
      </c>
      <c r="L94">
        <v>175</v>
      </c>
      <c r="M94" s="1" t="s">
        <v>33</v>
      </c>
    </row>
    <row r="95" spans="1:13" x14ac:dyDescent="0.3">
      <c r="A95" s="1" t="s">
        <v>13</v>
      </c>
      <c r="B95" s="2">
        <v>46032</v>
      </c>
      <c r="C95" s="1" t="s">
        <v>14</v>
      </c>
      <c r="D95" s="1" t="s">
        <v>57</v>
      </c>
      <c r="E95" s="1" t="s">
        <v>58</v>
      </c>
      <c r="F95" s="1" t="s">
        <v>17</v>
      </c>
      <c r="G95" s="1" t="s">
        <v>18</v>
      </c>
      <c r="H95" s="1" t="s">
        <v>64</v>
      </c>
      <c r="I95">
        <v>5</v>
      </c>
      <c r="J95">
        <v>45</v>
      </c>
      <c r="K95">
        <v>0</v>
      </c>
      <c r="L95">
        <v>225</v>
      </c>
      <c r="M95" s="1" t="s">
        <v>33</v>
      </c>
    </row>
    <row r="96" spans="1:13" x14ac:dyDescent="0.3">
      <c r="A96" s="1" t="s">
        <v>13</v>
      </c>
      <c r="B96" s="2">
        <v>46024</v>
      </c>
      <c r="C96" s="1" t="s">
        <v>14</v>
      </c>
      <c r="D96" s="1" t="s">
        <v>38</v>
      </c>
      <c r="E96" s="1" t="s">
        <v>39</v>
      </c>
      <c r="F96" s="1" t="s">
        <v>40</v>
      </c>
      <c r="G96" s="1" t="s">
        <v>18</v>
      </c>
      <c r="H96" s="1" t="s">
        <v>79</v>
      </c>
      <c r="I96">
        <v>4</v>
      </c>
      <c r="J96">
        <v>55</v>
      </c>
      <c r="K96">
        <v>0.05</v>
      </c>
      <c r="L96">
        <v>209</v>
      </c>
      <c r="M96" s="1" t="s">
        <v>37</v>
      </c>
    </row>
    <row r="97" spans="1:13" x14ac:dyDescent="0.3">
      <c r="A97" s="1" t="s">
        <v>13</v>
      </c>
      <c r="B97" s="2">
        <v>46036</v>
      </c>
      <c r="C97" s="1" t="s">
        <v>14</v>
      </c>
      <c r="D97" s="1" t="s">
        <v>49</v>
      </c>
      <c r="E97" s="1" t="s">
        <v>50</v>
      </c>
      <c r="F97" s="1" t="s">
        <v>45</v>
      </c>
      <c r="G97" s="1" t="s">
        <v>41</v>
      </c>
      <c r="H97" s="1" t="s">
        <v>83</v>
      </c>
      <c r="I97">
        <v>3</v>
      </c>
      <c r="J97">
        <v>35</v>
      </c>
      <c r="K97">
        <v>0.05</v>
      </c>
      <c r="L97">
        <v>99.75</v>
      </c>
      <c r="M97" s="1" t="s">
        <v>37</v>
      </c>
    </row>
    <row r="98" spans="1:13" x14ac:dyDescent="0.3">
      <c r="A98" s="1" t="s">
        <v>13</v>
      </c>
      <c r="B98" s="2">
        <v>46045</v>
      </c>
      <c r="C98" s="1" t="s">
        <v>14</v>
      </c>
      <c r="D98" s="1" t="s">
        <v>26</v>
      </c>
      <c r="E98" s="1" t="s">
        <v>27</v>
      </c>
      <c r="F98" s="1" t="s">
        <v>28</v>
      </c>
      <c r="G98" s="1" t="s">
        <v>41</v>
      </c>
      <c r="H98" s="1" t="s">
        <v>68</v>
      </c>
      <c r="I98">
        <v>2</v>
      </c>
      <c r="J98">
        <v>180</v>
      </c>
      <c r="K98">
        <v>0</v>
      </c>
      <c r="L98">
        <v>360</v>
      </c>
      <c r="M98" s="1" t="s">
        <v>25</v>
      </c>
    </row>
    <row r="99" spans="1:13" x14ac:dyDescent="0.3">
      <c r="A99" s="1" t="s">
        <v>13</v>
      </c>
      <c r="B99" s="2">
        <v>46027</v>
      </c>
      <c r="C99" s="1" t="s">
        <v>14</v>
      </c>
      <c r="D99" s="1" t="s">
        <v>38</v>
      </c>
      <c r="E99" s="1" t="s">
        <v>39</v>
      </c>
      <c r="F99" s="1" t="s">
        <v>40</v>
      </c>
      <c r="G99" s="1" t="s">
        <v>18</v>
      </c>
      <c r="H99" s="1" t="s">
        <v>51</v>
      </c>
      <c r="I99">
        <v>4</v>
      </c>
      <c r="J99">
        <v>55</v>
      </c>
      <c r="K99">
        <v>0.05</v>
      </c>
      <c r="L99">
        <v>209</v>
      </c>
      <c r="M99" s="1" t="s">
        <v>20</v>
      </c>
    </row>
    <row r="100" spans="1:13" x14ac:dyDescent="0.3">
      <c r="A100" s="1" t="s">
        <v>13</v>
      </c>
      <c r="B100" s="2">
        <v>46025</v>
      </c>
      <c r="C100" s="1" t="s">
        <v>14</v>
      </c>
      <c r="D100" s="1" t="s">
        <v>43</v>
      </c>
      <c r="E100" s="1" t="s">
        <v>44</v>
      </c>
      <c r="F100" s="1" t="s">
        <v>45</v>
      </c>
      <c r="G100" s="1" t="s">
        <v>41</v>
      </c>
      <c r="H100" s="1" t="s">
        <v>56</v>
      </c>
      <c r="I100">
        <v>4</v>
      </c>
      <c r="J100">
        <v>140</v>
      </c>
      <c r="K100">
        <v>0.1</v>
      </c>
      <c r="L100">
        <v>504</v>
      </c>
      <c r="M100" s="1" t="s">
        <v>25</v>
      </c>
    </row>
    <row r="101" spans="1:13" x14ac:dyDescent="0.3">
      <c r="A101" s="1" t="s">
        <v>13</v>
      </c>
      <c r="B101" s="2">
        <v>46041</v>
      </c>
      <c r="C101" s="1" t="s">
        <v>14</v>
      </c>
      <c r="D101" s="1" t="s">
        <v>72</v>
      </c>
      <c r="E101" s="1" t="s">
        <v>73</v>
      </c>
      <c r="F101" s="1" t="s">
        <v>17</v>
      </c>
      <c r="G101" s="1" t="s">
        <v>41</v>
      </c>
      <c r="H101" s="1" t="s">
        <v>84</v>
      </c>
      <c r="I101">
        <v>2</v>
      </c>
      <c r="J101">
        <v>170</v>
      </c>
      <c r="K101">
        <v>0.1</v>
      </c>
      <c r="L101">
        <v>306</v>
      </c>
      <c r="M101" s="1" t="s">
        <v>20</v>
      </c>
    </row>
    <row r="102" spans="1:13" x14ac:dyDescent="0.3">
      <c r="A102" s="1" t="s">
        <v>86</v>
      </c>
      <c r="B102" s="2">
        <v>46075</v>
      </c>
      <c r="C102" s="1" t="s">
        <v>14</v>
      </c>
      <c r="D102" s="1" t="s">
        <v>72</v>
      </c>
      <c r="E102" s="1" t="s">
        <v>73</v>
      </c>
      <c r="F102" s="1" t="s">
        <v>17</v>
      </c>
      <c r="G102" s="1" t="s">
        <v>18</v>
      </c>
      <c r="H102" s="1" t="s">
        <v>76</v>
      </c>
      <c r="I102">
        <v>3</v>
      </c>
      <c r="J102">
        <v>170</v>
      </c>
      <c r="K102">
        <v>0</v>
      </c>
      <c r="L102">
        <v>510</v>
      </c>
      <c r="M102" s="1" t="s">
        <v>25</v>
      </c>
    </row>
    <row r="103" spans="1:13" x14ac:dyDescent="0.3">
      <c r="A103" s="1" t="s">
        <v>86</v>
      </c>
      <c r="B103" s="2">
        <v>46058</v>
      </c>
      <c r="C103" s="1" t="s">
        <v>14</v>
      </c>
      <c r="D103" s="1" t="s">
        <v>72</v>
      </c>
      <c r="E103" s="1" t="s">
        <v>73</v>
      </c>
      <c r="F103" s="1" t="s">
        <v>17</v>
      </c>
      <c r="G103" s="1" t="s">
        <v>41</v>
      </c>
      <c r="H103" s="1" t="s">
        <v>81</v>
      </c>
      <c r="I103">
        <v>1</v>
      </c>
      <c r="J103">
        <v>170</v>
      </c>
      <c r="K103">
        <v>0</v>
      </c>
      <c r="L103">
        <v>170</v>
      </c>
      <c r="M103" s="1" t="s">
        <v>37</v>
      </c>
    </row>
    <row r="104" spans="1:13" x14ac:dyDescent="0.3">
      <c r="A104" s="1" t="s">
        <v>86</v>
      </c>
      <c r="B104" s="2">
        <v>46056</v>
      </c>
      <c r="C104" s="1" t="s">
        <v>14</v>
      </c>
      <c r="D104" s="1" t="s">
        <v>57</v>
      </c>
      <c r="E104" s="1" t="s">
        <v>58</v>
      </c>
      <c r="F104" s="1" t="s">
        <v>17</v>
      </c>
      <c r="G104" s="1" t="s">
        <v>18</v>
      </c>
      <c r="H104" s="1" t="s">
        <v>83</v>
      </c>
      <c r="I104">
        <v>3</v>
      </c>
      <c r="J104">
        <v>45</v>
      </c>
      <c r="K104">
        <v>0.1</v>
      </c>
      <c r="L104">
        <v>121.5</v>
      </c>
      <c r="M104" s="1" t="s">
        <v>25</v>
      </c>
    </row>
    <row r="105" spans="1:13" x14ac:dyDescent="0.3">
      <c r="A105" s="1" t="s">
        <v>86</v>
      </c>
      <c r="B105" s="2">
        <v>46066</v>
      </c>
      <c r="C105" s="1" t="s">
        <v>14</v>
      </c>
      <c r="D105" s="1" t="s">
        <v>61</v>
      </c>
      <c r="E105" s="1" t="s">
        <v>62</v>
      </c>
      <c r="F105" s="1" t="s">
        <v>40</v>
      </c>
      <c r="G105" s="1" t="s">
        <v>18</v>
      </c>
      <c r="H105" s="1" t="s">
        <v>75</v>
      </c>
      <c r="I105">
        <v>4</v>
      </c>
      <c r="J105">
        <v>160</v>
      </c>
      <c r="K105">
        <v>0</v>
      </c>
      <c r="L105">
        <v>640</v>
      </c>
      <c r="M105" s="1" t="s">
        <v>33</v>
      </c>
    </row>
    <row r="106" spans="1:13" x14ac:dyDescent="0.3">
      <c r="A106" s="1" t="s">
        <v>86</v>
      </c>
      <c r="B106" s="2">
        <v>46081</v>
      </c>
      <c r="C106" s="1" t="s">
        <v>14</v>
      </c>
      <c r="D106" s="1" t="s">
        <v>54</v>
      </c>
      <c r="E106" s="1" t="s">
        <v>55</v>
      </c>
      <c r="F106" s="1" t="s">
        <v>23</v>
      </c>
      <c r="G106" s="1" t="s">
        <v>41</v>
      </c>
      <c r="H106" s="1" t="s">
        <v>68</v>
      </c>
      <c r="I106">
        <v>1</v>
      </c>
      <c r="J106">
        <v>75</v>
      </c>
      <c r="K106">
        <v>0.15</v>
      </c>
      <c r="L106">
        <v>63.75</v>
      </c>
      <c r="M106" s="1" t="s">
        <v>37</v>
      </c>
    </row>
    <row r="107" spans="1:13" x14ac:dyDescent="0.3">
      <c r="A107" s="1" t="s">
        <v>86</v>
      </c>
      <c r="B107" s="2">
        <v>46066</v>
      </c>
      <c r="C107" s="1" t="s">
        <v>14</v>
      </c>
      <c r="D107" s="1" t="s">
        <v>49</v>
      </c>
      <c r="E107" s="1" t="s">
        <v>50</v>
      </c>
      <c r="F107" s="1" t="s">
        <v>45</v>
      </c>
      <c r="G107" s="1" t="s">
        <v>18</v>
      </c>
      <c r="H107" s="1" t="s">
        <v>84</v>
      </c>
      <c r="I107">
        <v>4</v>
      </c>
      <c r="J107">
        <v>35</v>
      </c>
      <c r="K107">
        <v>0</v>
      </c>
      <c r="L107">
        <v>140</v>
      </c>
      <c r="M107" s="1" t="s">
        <v>33</v>
      </c>
    </row>
    <row r="108" spans="1:13" x14ac:dyDescent="0.3">
      <c r="A108" s="1" t="s">
        <v>86</v>
      </c>
      <c r="B108" s="2">
        <v>46067</v>
      </c>
      <c r="C108" s="1" t="s">
        <v>14</v>
      </c>
      <c r="D108" s="1" t="s">
        <v>65</v>
      </c>
      <c r="E108" s="1" t="s">
        <v>66</v>
      </c>
      <c r="F108" s="1" t="s">
        <v>40</v>
      </c>
      <c r="G108" s="1" t="s">
        <v>18</v>
      </c>
      <c r="H108" s="1" t="s">
        <v>85</v>
      </c>
      <c r="I108">
        <v>4</v>
      </c>
      <c r="J108">
        <v>210</v>
      </c>
      <c r="K108">
        <v>0</v>
      </c>
      <c r="L108">
        <v>840</v>
      </c>
      <c r="M108" s="1" t="s">
        <v>20</v>
      </c>
    </row>
    <row r="109" spans="1:13" x14ac:dyDescent="0.3">
      <c r="A109" s="1" t="s">
        <v>86</v>
      </c>
      <c r="B109" s="2">
        <v>46072</v>
      </c>
      <c r="C109" s="1" t="s">
        <v>14</v>
      </c>
      <c r="D109" s="1" t="s">
        <v>30</v>
      </c>
      <c r="E109" s="1" t="s">
        <v>31</v>
      </c>
      <c r="F109" s="1" t="s">
        <v>23</v>
      </c>
      <c r="G109" s="1" t="s">
        <v>41</v>
      </c>
      <c r="H109" s="1" t="s">
        <v>79</v>
      </c>
      <c r="I109">
        <v>5</v>
      </c>
      <c r="J109">
        <v>2800</v>
      </c>
      <c r="K109">
        <v>0.05</v>
      </c>
      <c r="L109">
        <v>13300</v>
      </c>
      <c r="M109" s="1" t="s">
        <v>20</v>
      </c>
    </row>
    <row r="110" spans="1:13" x14ac:dyDescent="0.3">
      <c r="A110" s="1" t="s">
        <v>86</v>
      </c>
      <c r="B110" s="2">
        <v>46075</v>
      </c>
      <c r="C110" s="1" t="s">
        <v>14</v>
      </c>
      <c r="D110" s="1" t="s">
        <v>65</v>
      </c>
      <c r="E110" s="1" t="s">
        <v>66</v>
      </c>
      <c r="F110" s="1" t="s">
        <v>40</v>
      </c>
      <c r="G110" s="1" t="s">
        <v>41</v>
      </c>
      <c r="H110" s="1" t="s">
        <v>79</v>
      </c>
      <c r="I110">
        <v>5</v>
      </c>
      <c r="J110">
        <v>210</v>
      </c>
      <c r="K110">
        <v>0</v>
      </c>
      <c r="L110">
        <v>1050</v>
      </c>
      <c r="M110" s="1" t="s">
        <v>37</v>
      </c>
    </row>
    <row r="111" spans="1:13" x14ac:dyDescent="0.3">
      <c r="A111" s="1" t="s">
        <v>86</v>
      </c>
      <c r="B111" s="2">
        <v>46073</v>
      </c>
      <c r="C111" s="1" t="s">
        <v>14</v>
      </c>
      <c r="D111" s="1" t="s">
        <v>54</v>
      </c>
      <c r="E111" s="1" t="s">
        <v>55</v>
      </c>
      <c r="F111" s="1" t="s">
        <v>23</v>
      </c>
      <c r="G111" s="1" t="s">
        <v>41</v>
      </c>
      <c r="H111" s="1" t="s">
        <v>87</v>
      </c>
      <c r="I111">
        <v>5</v>
      </c>
      <c r="J111">
        <v>75</v>
      </c>
      <c r="K111">
        <v>0.1</v>
      </c>
      <c r="L111">
        <v>337.5</v>
      </c>
      <c r="M111" s="1" t="s">
        <v>33</v>
      </c>
    </row>
    <row r="112" spans="1:13" x14ac:dyDescent="0.3">
      <c r="A112" s="1" t="s">
        <v>86</v>
      </c>
      <c r="B112" s="2">
        <v>46081</v>
      </c>
      <c r="C112" s="1" t="s">
        <v>14</v>
      </c>
      <c r="D112" s="1" t="s">
        <v>65</v>
      </c>
      <c r="E112" s="1" t="s">
        <v>66</v>
      </c>
      <c r="F112" s="1" t="s">
        <v>40</v>
      </c>
      <c r="G112" s="1" t="s">
        <v>41</v>
      </c>
      <c r="H112" s="1" t="s">
        <v>42</v>
      </c>
      <c r="I112">
        <v>4</v>
      </c>
      <c r="J112">
        <v>210</v>
      </c>
      <c r="K112">
        <v>0.1</v>
      </c>
      <c r="L112">
        <v>756</v>
      </c>
      <c r="M112" s="1" t="s">
        <v>20</v>
      </c>
    </row>
    <row r="113" spans="1:13" x14ac:dyDescent="0.3">
      <c r="A113" s="1" t="s">
        <v>86</v>
      </c>
      <c r="B113" s="2">
        <v>46061</v>
      </c>
      <c r="C113" s="1" t="s">
        <v>14</v>
      </c>
      <c r="D113" s="1" t="s">
        <v>26</v>
      </c>
      <c r="E113" s="1" t="s">
        <v>27</v>
      </c>
      <c r="F113" s="1" t="s">
        <v>28</v>
      </c>
      <c r="G113" s="1" t="s">
        <v>18</v>
      </c>
      <c r="H113" s="1" t="s">
        <v>77</v>
      </c>
      <c r="I113">
        <v>3</v>
      </c>
      <c r="J113">
        <v>180</v>
      </c>
      <c r="K113">
        <v>0</v>
      </c>
      <c r="L113">
        <v>540</v>
      </c>
      <c r="M113" s="1" t="s">
        <v>25</v>
      </c>
    </row>
    <row r="114" spans="1:13" x14ac:dyDescent="0.3">
      <c r="A114" s="1" t="s">
        <v>86</v>
      </c>
      <c r="B114" s="2">
        <v>46081</v>
      </c>
      <c r="C114" s="1" t="s">
        <v>14</v>
      </c>
      <c r="D114" s="1" t="s">
        <v>61</v>
      </c>
      <c r="E114" s="1" t="s">
        <v>62</v>
      </c>
      <c r="F114" s="1" t="s">
        <v>40</v>
      </c>
      <c r="G114" s="1" t="s">
        <v>18</v>
      </c>
      <c r="H114" s="1" t="s">
        <v>76</v>
      </c>
      <c r="I114">
        <v>5</v>
      </c>
      <c r="J114">
        <v>160</v>
      </c>
      <c r="K114">
        <v>0</v>
      </c>
      <c r="L114">
        <v>800</v>
      </c>
      <c r="M114" s="1" t="s">
        <v>37</v>
      </c>
    </row>
    <row r="115" spans="1:13" x14ac:dyDescent="0.3">
      <c r="A115" s="1" t="s">
        <v>86</v>
      </c>
      <c r="B115" s="2">
        <v>46067</v>
      </c>
      <c r="C115" s="1" t="s">
        <v>14</v>
      </c>
      <c r="D115" s="1" t="s">
        <v>47</v>
      </c>
      <c r="E115" s="1" t="s">
        <v>48</v>
      </c>
      <c r="F115" s="1" t="s">
        <v>45</v>
      </c>
      <c r="G115" s="1" t="s">
        <v>41</v>
      </c>
      <c r="H115" s="1" t="s">
        <v>29</v>
      </c>
      <c r="I115">
        <v>1</v>
      </c>
      <c r="J115">
        <v>85</v>
      </c>
      <c r="K115">
        <v>0</v>
      </c>
      <c r="L115">
        <v>85</v>
      </c>
      <c r="M115" s="1" t="s">
        <v>25</v>
      </c>
    </row>
    <row r="116" spans="1:13" x14ac:dyDescent="0.3">
      <c r="A116" s="1" t="s">
        <v>86</v>
      </c>
      <c r="B116" s="2">
        <v>46070</v>
      </c>
      <c r="C116" s="1" t="s">
        <v>14</v>
      </c>
      <c r="D116" s="1" t="s">
        <v>49</v>
      </c>
      <c r="E116" s="1" t="s">
        <v>50</v>
      </c>
      <c r="F116" s="1" t="s">
        <v>45</v>
      </c>
      <c r="G116" s="1" t="s">
        <v>41</v>
      </c>
      <c r="H116" s="1" t="s">
        <v>60</v>
      </c>
      <c r="I116">
        <v>5</v>
      </c>
      <c r="J116">
        <v>35</v>
      </c>
      <c r="K116">
        <v>0.05</v>
      </c>
      <c r="L116">
        <v>166.25</v>
      </c>
      <c r="M116" s="1" t="s">
        <v>20</v>
      </c>
    </row>
    <row r="117" spans="1:13" x14ac:dyDescent="0.3">
      <c r="A117" s="1" t="s">
        <v>86</v>
      </c>
      <c r="B117" s="2">
        <v>46081</v>
      </c>
      <c r="C117" s="1" t="s">
        <v>14</v>
      </c>
      <c r="D117" s="1" t="s">
        <v>69</v>
      </c>
      <c r="E117" s="1" t="s">
        <v>70</v>
      </c>
      <c r="F117" s="1" t="s">
        <v>28</v>
      </c>
      <c r="G117" s="1" t="s">
        <v>18</v>
      </c>
      <c r="H117" s="1" t="s">
        <v>80</v>
      </c>
      <c r="I117">
        <v>1</v>
      </c>
      <c r="J117">
        <v>95</v>
      </c>
      <c r="K117">
        <v>0.1</v>
      </c>
      <c r="L117">
        <v>85.5</v>
      </c>
      <c r="M117" s="1" t="s">
        <v>37</v>
      </c>
    </row>
    <row r="118" spans="1:13" x14ac:dyDescent="0.3">
      <c r="A118" s="1" t="s">
        <v>86</v>
      </c>
      <c r="B118" s="2">
        <v>46057</v>
      </c>
      <c r="C118" s="1" t="s">
        <v>14</v>
      </c>
      <c r="D118" s="1" t="s">
        <v>47</v>
      </c>
      <c r="E118" s="1" t="s">
        <v>48</v>
      </c>
      <c r="F118" s="1" t="s">
        <v>45</v>
      </c>
      <c r="G118" s="1" t="s">
        <v>41</v>
      </c>
      <c r="H118" s="1" t="s">
        <v>77</v>
      </c>
      <c r="I118">
        <v>3</v>
      </c>
      <c r="J118">
        <v>85</v>
      </c>
      <c r="K118">
        <v>0</v>
      </c>
      <c r="L118">
        <v>242.25</v>
      </c>
      <c r="M118" s="1" t="s">
        <v>25</v>
      </c>
    </row>
    <row r="119" spans="1:13" x14ac:dyDescent="0.3">
      <c r="A119" s="1" t="s">
        <v>86</v>
      </c>
      <c r="B119" s="2">
        <v>46065</v>
      </c>
      <c r="C119" s="1" t="s">
        <v>14</v>
      </c>
      <c r="D119" s="1" t="s">
        <v>34</v>
      </c>
      <c r="E119" s="1" t="s">
        <v>35</v>
      </c>
      <c r="F119" s="1" t="s">
        <v>28</v>
      </c>
      <c r="G119" s="1" t="s">
        <v>41</v>
      </c>
      <c r="H119" s="1" t="s">
        <v>83</v>
      </c>
      <c r="I119">
        <v>3</v>
      </c>
      <c r="J119">
        <v>120</v>
      </c>
      <c r="K119">
        <v>0</v>
      </c>
      <c r="L119">
        <v>360</v>
      </c>
      <c r="M119" s="1" t="s">
        <v>37</v>
      </c>
    </row>
    <row r="120" spans="1:13" x14ac:dyDescent="0.3">
      <c r="A120" s="1" t="s">
        <v>86</v>
      </c>
      <c r="B120" s="2">
        <v>46073</v>
      </c>
      <c r="C120" s="1" t="s">
        <v>14</v>
      </c>
      <c r="D120" s="1" t="s">
        <v>54</v>
      </c>
      <c r="E120" s="1" t="s">
        <v>55</v>
      </c>
      <c r="F120" s="1" t="s">
        <v>23</v>
      </c>
      <c r="G120" s="1" t="s">
        <v>41</v>
      </c>
      <c r="H120" s="1" t="s">
        <v>68</v>
      </c>
      <c r="I120">
        <v>4</v>
      </c>
      <c r="J120">
        <v>75</v>
      </c>
      <c r="K120">
        <v>0</v>
      </c>
      <c r="L120">
        <v>300</v>
      </c>
      <c r="M120" s="1" t="s">
        <v>37</v>
      </c>
    </row>
    <row r="121" spans="1:13" x14ac:dyDescent="0.3">
      <c r="A121" s="1" t="s">
        <v>86</v>
      </c>
      <c r="B121" s="2">
        <v>46057</v>
      </c>
      <c r="C121" s="1" t="s">
        <v>14</v>
      </c>
      <c r="D121" s="1" t="s">
        <v>21</v>
      </c>
      <c r="E121" s="1" t="s">
        <v>22</v>
      </c>
      <c r="F121" s="1" t="s">
        <v>23</v>
      </c>
      <c r="G121" s="1" t="s">
        <v>18</v>
      </c>
      <c r="H121" s="1" t="s">
        <v>75</v>
      </c>
      <c r="I121">
        <v>2</v>
      </c>
      <c r="J121">
        <v>220</v>
      </c>
      <c r="K121">
        <v>0.05</v>
      </c>
      <c r="L121">
        <v>418</v>
      </c>
      <c r="M121" s="1" t="s">
        <v>25</v>
      </c>
    </row>
    <row r="122" spans="1:13" x14ac:dyDescent="0.3">
      <c r="A122" s="1" t="s">
        <v>86</v>
      </c>
      <c r="B122" s="2">
        <v>46072</v>
      </c>
      <c r="C122" s="1" t="s">
        <v>14</v>
      </c>
      <c r="D122" s="1" t="s">
        <v>49</v>
      </c>
      <c r="E122" s="1" t="s">
        <v>50</v>
      </c>
      <c r="F122" s="1" t="s">
        <v>45</v>
      </c>
      <c r="G122" s="1" t="s">
        <v>41</v>
      </c>
      <c r="H122" s="1" t="s">
        <v>29</v>
      </c>
      <c r="I122">
        <v>4</v>
      </c>
      <c r="J122">
        <v>35</v>
      </c>
      <c r="K122">
        <v>0</v>
      </c>
      <c r="L122">
        <v>140</v>
      </c>
      <c r="M122" s="1" t="s">
        <v>25</v>
      </c>
    </row>
    <row r="123" spans="1:13" x14ac:dyDescent="0.3">
      <c r="A123" s="1" t="s">
        <v>86</v>
      </c>
      <c r="B123" s="2">
        <v>46069</v>
      </c>
      <c r="C123" s="1" t="s">
        <v>14</v>
      </c>
      <c r="D123" s="1" t="s">
        <v>65</v>
      </c>
      <c r="E123" s="1" t="s">
        <v>66</v>
      </c>
      <c r="F123" s="1" t="s">
        <v>40</v>
      </c>
      <c r="G123" s="1" t="s">
        <v>41</v>
      </c>
      <c r="H123" s="1" t="s">
        <v>83</v>
      </c>
      <c r="I123">
        <v>4</v>
      </c>
      <c r="J123">
        <v>210</v>
      </c>
      <c r="K123">
        <v>0.1</v>
      </c>
      <c r="L123">
        <v>756</v>
      </c>
      <c r="M123" s="1" t="s">
        <v>33</v>
      </c>
    </row>
    <row r="124" spans="1:13" x14ac:dyDescent="0.3">
      <c r="A124" s="1" t="s">
        <v>86</v>
      </c>
      <c r="B124" s="2">
        <v>46064</v>
      </c>
      <c r="C124" s="1" t="s">
        <v>14</v>
      </c>
      <c r="D124" s="1" t="s">
        <v>54</v>
      </c>
      <c r="E124" s="1" t="s">
        <v>55</v>
      </c>
      <c r="F124" s="1" t="s">
        <v>23</v>
      </c>
      <c r="G124" s="1" t="s">
        <v>18</v>
      </c>
      <c r="H124" s="1" t="s">
        <v>74</v>
      </c>
      <c r="I124">
        <v>5</v>
      </c>
      <c r="J124">
        <v>75</v>
      </c>
      <c r="K124">
        <v>0</v>
      </c>
      <c r="L124">
        <v>356.25</v>
      </c>
      <c r="M124" s="1" t="s">
        <v>33</v>
      </c>
    </row>
    <row r="125" spans="1:13" x14ac:dyDescent="0.3">
      <c r="A125" s="1" t="s">
        <v>86</v>
      </c>
      <c r="B125" s="2">
        <v>46068</v>
      </c>
      <c r="C125" s="1" t="s">
        <v>14</v>
      </c>
      <c r="D125" s="1" t="s">
        <v>26</v>
      </c>
      <c r="E125" s="1" t="s">
        <v>27</v>
      </c>
      <c r="F125" s="1" t="s">
        <v>28</v>
      </c>
      <c r="G125" s="1" t="s">
        <v>41</v>
      </c>
      <c r="H125" s="1" t="s">
        <v>87</v>
      </c>
      <c r="I125">
        <v>3</v>
      </c>
      <c r="J125">
        <v>180</v>
      </c>
      <c r="K125">
        <v>0.15</v>
      </c>
      <c r="L125">
        <v>459</v>
      </c>
      <c r="M125" s="1" t="s">
        <v>20</v>
      </c>
    </row>
    <row r="126" spans="1:13" x14ac:dyDescent="0.3">
      <c r="A126" s="1" t="s">
        <v>86</v>
      </c>
      <c r="B126" s="2">
        <v>46076</v>
      </c>
      <c r="C126" s="1" t="s">
        <v>14</v>
      </c>
      <c r="D126" s="1" t="s">
        <v>72</v>
      </c>
      <c r="E126" s="1" t="s">
        <v>73</v>
      </c>
      <c r="F126" s="1" t="s">
        <v>17</v>
      </c>
      <c r="G126" s="1" t="s">
        <v>41</v>
      </c>
      <c r="H126" s="1" t="s">
        <v>74</v>
      </c>
      <c r="I126">
        <v>5</v>
      </c>
      <c r="J126">
        <v>170</v>
      </c>
      <c r="K126">
        <v>0.1</v>
      </c>
      <c r="L126">
        <v>765</v>
      </c>
      <c r="M126" s="1" t="s">
        <v>20</v>
      </c>
    </row>
    <row r="127" spans="1:13" x14ac:dyDescent="0.3">
      <c r="A127" s="1" t="s">
        <v>86</v>
      </c>
      <c r="B127" s="2">
        <v>46074</v>
      </c>
      <c r="C127" s="1" t="s">
        <v>14</v>
      </c>
      <c r="D127" s="1" t="s">
        <v>43</v>
      </c>
      <c r="E127" s="1" t="s">
        <v>44</v>
      </c>
      <c r="F127" s="1" t="s">
        <v>45</v>
      </c>
      <c r="G127" s="1" t="s">
        <v>41</v>
      </c>
      <c r="H127" s="1" t="s">
        <v>67</v>
      </c>
      <c r="I127">
        <v>2</v>
      </c>
      <c r="J127">
        <v>140</v>
      </c>
      <c r="K127">
        <v>0.15</v>
      </c>
      <c r="L127">
        <v>238</v>
      </c>
      <c r="M127" s="1" t="s">
        <v>20</v>
      </c>
    </row>
    <row r="128" spans="1:13" x14ac:dyDescent="0.3">
      <c r="A128" s="1" t="s">
        <v>86</v>
      </c>
      <c r="B128" s="2">
        <v>46072</v>
      </c>
      <c r="C128" s="1" t="s">
        <v>14</v>
      </c>
      <c r="D128" s="1" t="s">
        <v>47</v>
      </c>
      <c r="E128" s="1" t="s">
        <v>48</v>
      </c>
      <c r="F128" s="1" t="s">
        <v>45</v>
      </c>
      <c r="G128" s="1" t="s">
        <v>18</v>
      </c>
      <c r="H128" s="1" t="s">
        <v>81</v>
      </c>
      <c r="I128">
        <v>3</v>
      </c>
      <c r="J128">
        <v>85</v>
      </c>
      <c r="K128">
        <v>0.05</v>
      </c>
      <c r="L128">
        <v>242.25</v>
      </c>
      <c r="M128" s="1" t="s">
        <v>20</v>
      </c>
    </row>
    <row r="129" spans="1:13" x14ac:dyDescent="0.3">
      <c r="A129" s="1" t="s">
        <v>86</v>
      </c>
      <c r="B129" s="2">
        <v>46070</v>
      </c>
      <c r="C129" s="1" t="s">
        <v>14</v>
      </c>
      <c r="D129" s="1" t="s">
        <v>72</v>
      </c>
      <c r="E129" s="1" t="s">
        <v>73</v>
      </c>
      <c r="F129" s="1" t="s">
        <v>17</v>
      </c>
      <c r="G129" s="1" t="s">
        <v>41</v>
      </c>
      <c r="H129" s="1" t="s">
        <v>87</v>
      </c>
      <c r="I129">
        <v>4</v>
      </c>
      <c r="J129">
        <v>170</v>
      </c>
      <c r="K129">
        <v>0.1</v>
      </c>
      <c r="L129">
        <v>612</v>
      </c>
      <c r="M129" s="1" t="s">
        <v>33</v>
      </c>
    </row>
    <row r="130" spans="1:13" x14ac:dyDescent="0.3">
      <c r="A130" s="1" t="s">
        <v>86</v>
      </c>
      <c r="B130" s="2">
        <v>46078</v>
      </c>
      <c r="C130" s="1" t="s">
        <v>14</v>
      </c>
      <c r="D130" s="1" t="s">
        <v>30</v>
      </c>
      <c r="E130" s="1" t="s">
        <v>31</v>
      </c>
      <c r="F130" s="1" t="s">
        <v>23</v>
      </c>
      <c r="G130" s="1" t="s">
        <v>41</v>
      </c>
      <c r="H130" s="1" t="s">
        <v>79</v>
      </c>
      <c r="I130">
        <v>1</v>
      </c>
      <c r="J130">
        <v>2800</v>
      </c>
      <c r="K130">
        <v>0</v>
      </c>
      <c r="L130">
        <v>2800</v>
      </c>
      <c r="M130" s="1" t="s">
        <v>20</v>
      </c>
    </row>
    <row r="131" spans="1:13" x14ac:dyDescent="0.3">
      <c r="A131" s="1" t="s">
        <v>86</v>
      </c>
      <c r="B131" s="2">
        <v>46063</v>
      </c>
      <c r="C131" s="1" t="s">
        <v>14</v>
      </c>
      <c r="D131" s="1" t="s">
        <v>54</v>
      </c>
      <c r="E131" s="1" t="s">
        <v>55</v>
      </c>
      <c r="F131" s="1" t="s">
        <v>23</v>
      </c>
      <c r="G131" s="1" t="s">
        <v>41</v>
      </c>
      <c r="H131" s="1" t="s">
        <v>82</v>
      </c>
      <c r="I131">
        <v>1</v>
      </c>
      <c r="J131">
        <v>75</v>
      </c>
      <c r="K131">
        <v>0</v>
      </c>
      <c r="L131">
        <v>71.25</v>
      </c>
      <c r="M131" s="1" t="s">
        <v>20</v>
      </c>
    </row>
    <row r="132" spans="1:13" x14ac:dyDescent="0.3">
      <c r="A132" s="1" t="s">
        <v>86</v>
      </c>
      <c r="B132" s="2">
        <v>46075</v>
      </c>
      <c r="C132" s="1" t="s">
        <v>14</v>
      </c>
      <c r="D132" s="1" t="s">
        <v>49</v>
      </c>
      <c r="E132" s="1" t="s">
        <v>50</v>
      </c>
      <c r="F132" s="1" t="s">
        <v>45</v>
      </c>
      <c r="G132" s="1" t="s">
        <v>41</v>
      </c>
      <c r="H132" s="1" t="s">
        <v>52</v>
      </c>
      <c r="I132">
        <v>1</v>
      </c>
      <c r="J132">
        <v>35</v>
      </c>
      <c r="K132">
        <v>0</v>
      </c>
      <c r="L132">
        <v>33.25</v>
      </c>
      <c r="M132" s="1" t="s">
        <v>37</v>
      </c>
    </row>
    <row r="133" spans="1:13" x14ac:dyDescent="0.3">
      <c r="A133" s="1" t="s">
        <v>86</v>
      </c>
      <c r="B133" s="2">
        <v>46055</v>
      </c>
      <c r="C133" s="1" t="s">
        <v>14</v>
      </c>
      <c r="D133" s="1" t="s">
        <v>26</v>
      </c>
      <c r="E133" s="1" t="s">
        <v>27</v>
      </c>
      <c r="F133" s="1" t="s">
        <v>28</v>
      </c>
      <c r="G133" s="1" t="s">
        <v>18</v>
      </c>
      <c r="H133" s="1" t="s">
        <v>63</v>
      </c>
      <c r="I133">
        <v>3</v>
      </c>
      <c r="J133">
        <v>180</v>
      </c>
      <c r="K133">
        <v>0.05</v>
      </c>
      <c r="L133">
        <v>513</v>
      </c>
      <c r="M133" s="1" t="s">
        <v>20</v>
      </c>
    </row>
    <row r="134" spans="1:13" x14ac:dyDescent="0.3">
      <c r="A134" s="1" t="s">
        <v>86</v>
      </c>
      <c r="B134" s="2">
        <v>46062</v>
      </c>
      <c r="C134" s="1" t="s">
        <v>14</v>
      </c>
      <c r="D134" s="1" t="s">
        <v>57</v>
      </c>
      <c r="E134" s="1" t="s">
        <v>58</v>
      </c>
      <c r="F134" s="1" t="s">
        <v>17</v>
      </c>
      <c r="G134" s="1" t="s">
        <v>41</v>
      </c>
      <c r="H134" s="1" t="s">
        <v>80</v>
      </c>
      <c r="I134">
        <v>1</v>
      </c>
      <c r="J134">
        <v>45</v>
      </c>
      <c r="K134">
        <v>0</v>
      </c>
      <c r="L134">
        <v>45</v>
      </c>
      <c r="M134" s="1" t="s">
        <v>37</v>
      </c>
    </row>
    <row r="135" spans="1:13" x14ac:dyDescent="0.3">
      <c r="A135" s="1" t="s">
        <v>86</v>
      </c>
      <c r="B135" s="2">
        <v>46071</v>
      </c>
      <c r="C135" s="1" t="s">
        <v>14</v>
      </c>
      <c r="D135" s="1" t="s">
        <v>72</v>
      </c>
      <c r="E135" s="1" t="s">
        <v>73</v>
      </c>
      <c r="F135" s="1" t="s">
        <v>17</v>
      </c>
      <c r="G135" s="1" t="s">
        <v>41</v>
      </c>
      <c r="H135" s="1" t="s">
        <v>51</v>
      </c>
      <c r="I135">
        <v>3</v>
      </c>
      <c r="J135">
        <v>170</v>
      </c>
      <c r="K135">
        <v>0.05</v>
      </c>
      <c r="L135">
        <v>484.5</v>
      </c>
      <c r="M135" s="1" t="s">
        <v>20</v>
      </c>
    </row>
    <row r="136" spans="1:13" x14ac:dyDescent="0.3">
      <c r="A136" s="1" t="s">
        <v>86</v>
      </c>
      <c r="B136" s="2">
        <v>46059</v>
      </c>
      <c r="C136" s="1" t="s">
        <v>14</v>
      </c>
      <c r="D136" s="1" t="s">
        <v>61</v>
      </c>
      <c r="E136" s="1" t="s">
        <v>62</v>
      </c>
      <c r="F136" s="1" t="s">
        <v>40</v>
      </c>
      <c r="G136" s="1" t="s">
        <v>41</v>
      </c>
      <c r="H136" s="1" t="s">
        <v>87</v>
      </c>
      <c r="I136">
        <v>1</v>
      </c>
      <c r="J136">
        <v>160</v>
      </c>
      <c r="K136">
        <v>0</v>
      </c>
      <c r="L136">
        <v>160</v>
      </c>
      <c r="M136" s="1" t="s">
        <v>20</v>
      </c>
    </row>
    <row r="137" spans="1:13" x14ac:dyDescent="0.3">
      <c r="A137" s="1" t="s">
        <v>86</v>
      </c>
      <c r="B137" s="2">
        <v>46081</v>
      </c>
      <c r="C137" s="1" t="s">
        <v>14</v>
      </c>
      <c r="D137" s="1" t="s">
        <v>38</v>
      </c>
      <c r="E137" s="1" t="s">
        <v>39</v>
      </c>
      <c r="F137" s="1" t="s">
        <v>40</v>
      </c>
      <c r="G137" s="1" t="s">
        <v>18</v>
      </c>
      <c r="H137" s="1" t="s">
        <v>87</v>
      </c>
      <c r="I137">
        <v>2</v>
      </c>
      <c r="J137">
        <v>55</v>
      </c>
      <c r="K137">
        <v>0</v>
      </c>
      <c r="L137">
        <v>110</v>
      </c>
      <c r="M137" s="1" t="s">
        <v>37</v>
      </c>
    </row>
    <row r="138" spans="1:13" x14ac:dyDescent="0.3">
      <c r="A138" s="1" t="s">
        <v>86</v>
      </c>
      <c r="B138" s="2">
        <v>46064</v>
      </c>
      <c r="C138" s="1" t="s">
        <v>14</v>
      </c>
      <c r="D138" s="1" t="s">
        <v>47</v>
      </c>
      <c r="E138" s="1" t="s">
        <v>48</v>
      </c>
      <c r="F138" s="1" t="s">
        <v>45</v>
      </c>
      <c r="G138" s="1" t="s">
        <v>41</v>
      </c>
      <c r="H138" s="1" t="s">
        <v>75</v>
      </c>
      <c r="I138">
        <v>2</v>
      </c>
      <c r="J138">
        <v>85</v>
      </c>
      <c r="K138">
        <v>0</v>
      </c>
      <c r="L138">
        <v>170</v>
      </c>
      <c r="M138" s="1" t="s">
        <v>20</v>
      </c>
    </row>
    <row r="139" spans="1:13" x14ac:dyDescent="0.3">
      <c r="A139" s="1" t="s">
        <v>86</v>
      </c>
      <c r="B139" s="2">
        <v>46056</v>
      </c>
      <c r="C139" s="1" t="s">
        <v>14</v>
      </c>
      <c r="D139" s="1" t="s">
        <v>65</v>
      </c>
      <c r="E139" s="1" t="s">
        <v>66</v>
      </c>
      <c r="F139" s="1" t="s">
        <v>40</v>
      </c>
      <c r="G139" s="1" t="s">
        <v>18</v>
      </c>
      <c r="H139" s="1" t="s">
        <v>83</v>
      </c>
      <c r="I139">
        <v>5</v>
      </c>
      <c r="J139">
        <v>210</v>
      </c>
      <c r="K139">
        <v>0.05</v>
      </c>
      <c r="L139">
        <v>997.5</v>
      </c>
      <c r="M139" s="1" t="s">
        <v>25</v>
      </c>
    </row>
    <row r="140" spans="1:13" x14ac:dyDescent="0.3">
      <c r="A140" s="1" t="s">
        <v>86</v>
      </c>
      <c r="B140" s="2">
        <v>46071</v>
      </c>
      <c r="C140" s="1" t="s">
        <v>14</v>
      </c>
      <c r="D140" s="1" t="s">
        <v>49</v>
      </c>
      <c r="E140" s="1" t="s">
        <v>50</v>
      </c>
      <c r="F140" s="1" t="s">
        <v>45</v>
      </c>
      <c r="G140" s="1" t="s">
        <v>18</v>
      </c>
      <c r="H140" s="1" t="s">
        <v>77</v>
      </c>
      <c r="I140">
        <v>2</v>
      </c>
      <c r="J140">
        <v>35</v>
      </c>
      <c r="K140">
        <v>0</v>
      </c>
      <c r="L140">
        <v>70</v>
      </c>
      <c r="M140" s="1" t="s">
        <v>33</v>
      </c>
    </row>
    <row r="141" spans="1:13" x14ac:dyDescent="0.3">
      <c r="A141" s="1" t="s">
        <v>86</v>
      </c>
      <c r="B141" s="2">
        <v>46060</v>
      </c>
      <c r="C141" s="1" t="s">
        <v>14</v>
      </c>
      <c r="D141" s="1" t="s">
        <v>43</v>
      </c>
      <c r="E141" s="1" t="s">
        <v>44</v>
      </c>
      <c r="F141" s="1" t="s">
        <v>45</v>
      </c>
      <c r="G141" s="1" t="s">
        <v>18</v>
      </c>
      <c r="H141" s="1" t="s">
        <v>36</v>
      </c>
      <c r="I141">
        <v>3</v>
      </c>
      <c r="J141">
        <v>140</v>
      </c>
      <c r="K141">
        <v>0</v>
      </c>
      <c r="L141">
        <v>420</v>
      </c>
      <c r="M141" s="1" t="s">
        <v>25</v>
      </c>
    </row>
    <row r="142" spans="1:13" x14ac:dyDescent="0.3">
      <c r="A142" s="1" t="s">
        <v>86</v>
      </c>
      <c r="B142" s="2">
        <v>46074</v>
      </c>
      <c r="C142" s="1" t="s">
        <v>14</v>
      </c>
      <c r="D142" s="1" t="s">
        <v>54</v>
      </c>
      <c r="E142" s="1" t="s">
        <v>55</v>
      </c>
      <c r="F142" s="1" t="s">
        <v>23</v>
      </c>
      <c r="G142" s="1" t="s">
        <v>41</v>
      </c>
      <c r="H142" s="1" t="s">
        <v>79</v>
      </c>
      <c r="I142">
        <v>3</v>
      </c>
      <c r="J142">
        <v>75</v>
      </c>
      <c r="K142">
        <v>0</v>
      </c>
      <c r="L142">
        <v>225</v>
      </c>
      <c r="M142" s="1" t="s">
        <v>20</v>
      </c>
    </row>
    <row r="143" spans="1:13" x14ac:dyDescent="0.3">
      <c r="A143" s="1" t="s">
        <v>86</v>
      </c>
      <c r="B143" s="2">
        <v>46071</v>
      </c>
      <c r="C143" s="1" t="s">
        <v>14</v>
      </c>
      <c r="D143" s="1" t="s">
        <v>69</v>
      </c>
      <c r="E143" s="1" t="s">
        <v>70</v>
      </c>
      <c r="F143" s="1" t="s">
        <v>28</v>
      </c>
      <c r="G143" s="1" t="s">
        <v>18</v>
      </c>
      <c r="H143" s="1" t="s">
        <v>87</v>
      </c>
      <c r="I143">
        <v>1</v>
      </c>
      <c r="J143">
        <v>95</v>
      </c>
      <c r="K143">
        <v>0</v>
      </c>
      <c r="L143">
        <v>95</v>
      </c>
      <c r="M143" s="1" t="s">
        <v>20</v>
      </c>
    </row>
    <row r="144" spans="1:13" x14ac:dyDescent="0.3">
      <c r="A144" s="1" t="s">
        <v>86</v>
      </c>
      <c r="B144" s="2">
        <v>46055</v>
      </c>
      <c r="C144" s="1" t="s">
        <v>14</v>
      </c>
      <c r="D144" s="1" t="s">
        <v>65</v>
      </c>
      <c r="E144" s="1" t="s">
        <v>66</v>
      </c>
      <c r="F144" s="1" t="s">
        <v>40</v>
      </c>
      <c r="G144" s="1" t="s">
        <v>18</v>
      </c>
      <c r="H144" s="1" t="s">
        <v>51</v>
      </c>
      <c r="I144">
        <v>5</v>
      </c>
      <c r="J144">
        <v>210</v>
      </c>
      <c r="K144">
        <v>0</v>
      </c>
      <c r="L144">
        <v>1050</v>
      </c>
      <c r="M144" s="1" t="s">
        <v>20</v>
      </c>
    </row>
    <row r="145" spans="1:13" x14ac:dyDescent="0.3">
      <c r="A145" s="1" t="s">
        <v>86</v>
      </c>
      <c r="B145" s="2">
        <v>46078</v>
      </c>
      <c r="C145" s="1" t="s">
        <v>14</v>
      </c>
      <c r="D145" s="1" t="s">
        <v>65</v>
      </c>
      <c r="E145" s="1" t="s">
        <v>66</v>
      </c>
      <c r="F145" s="1" t="s">
        <v>40</v>
      </c>
      <c r="G145" s="1" t="s">
        <v>41</v>
      </c>
      <c r="H145" s="1" t="s">
        <v>51</v>
      </c>
      <c r="I145">
        <v>1</v>
      </c>
      <c r="J145">
        <v>210</v>
      </c>
      <c r="K145">
        <v>0</v>
      </c>
      <c r="L145">
        <v>210</v>
      </c>
      <c r="M145" s="1" t="s">
        <v>33</v>
      </c>
    </row>
    <row r="146" spans="1:13" x14ac:dyDescent="0.3">
      <c r="A146" s="1" t="s">
        <v>86</v>
      </c>
      <c r="B146" s="2">
        <v>46060</v>
      </c>
      <c r="C146" s="1" t="s">
        <v>14</v>
      </c>
      <c r="D146" s="1" t="s">
        <v>72</v>
      </c>
      <c r="E146" s="1" t="s">
        <v>73</v>
      </c>
      <c r="F146" s="1" t="s">
        <v>17</v>
      </c>
      <c r="G146" s="1" t="s">
        <v>18</v>
      </c>
      <c r="H146" s="1" t="s">
        <v>19</v>
      </c>
      <c r="I146">
        <v>4</v>
      </c>
      <c r="J146">
        <v>170</v>
      </c>
      <c r="K146">
        <v>0.1</v>
      </c>
      <c r="L146">
        <v>612</v>
      </c>
      <c r="M146" s="1" t="s">
        <v>33</v>
      </c>
    </row>
    <row r="147" spans="1:13" x14ac:dyDescent="0.3">
      <c r="A147" s="1" t="s">
        <v>86</v>
      </c>
      <c r="B147" s="2">
        <v>46056</v>
      </c>
      <c r="C147" s="1" t="s">
        <v>14</v>
      </c>
      <c r="D147" s="1" t="s">
        <v>30</v>
      </c>
      <c r="E147" s="1" t="s">
        <v>31</v>
      </c>
      <c r="F147" s="1" t="s">
        <v>23</v>
      </c>
      <c r="G147" s="1" t="s">
        <v>41</v>
      </c>
      <c r="H147" s="1" t="s">
        <v>85</v>
      </c>
      <c r="I147">
        <v>3</v>
      </c>
      <c r="J147">
        <v>2800</v>
      </c>
      <c r="K147">
        <v>0</v>
      </c>
      <c r="L147">
        <v>8400</v>
      </c>
      <c r="M147" s="1" t="s">
        <v>25</v>
      </c>
    </row>
    <row r="148" spans="1:13" x14ac:dyDescent="0.3">
      <c r="A148" s="1" t="s">
        <v>86</v>
      </c>
      <c r="B148" s="2">
        <v>46067</v>
      </c>
      <c r="C148" s="1" t="s">
        <v>14</v>
      </c>
      <c r="D148" s="1" t="s">
        <v>38</v>
      </c>
      <c r="E148" s="1" t="s">
        <v>39</v>
      </c>
      <c r="F148" s="1" t="s">
        <v>40</v>
      </c>
      <c r="G148" s="1" t="s">
        <v>18</v>
      </c>
      <c r="H148" s="1" t="s">
        <v>56</v>
      </c>
      <c r="I148">
        <v>2</v>
      </c>
      <c r="J148">
        <v>55</v>
      </c>
      <c r="K148">
        <v>0</v>
      </c>
      <c r="L148">
        <v>99</v>
      </c>
      <c r="M148" s="1" t="s">
        <v>37</v>
      </c>
    </row>
    <row r="149" spans="1:13" x14ac:dyDescent="0.3">
      <c r="A149" s="1" t="s">
        <v>86</v>
      </c>
      <c r="B149" s="2">
        <v>46071</v>
      </c>
      <c r="C149" s="1" t="s">
        <v>14</v>
      </c>
      <c r="D149" s="1" t="s">
        <v>34</v>
      </c>
      <c r="E149" s="1" t="s">
        <v>35</v>
      </c>
      <c r="F149" s="1" t="s">
        <v>28</v>
      </c>
      <c r="G149" s="1" t="s">
        <v>41</v>
      </c>
      <c r="H149" s="1" t="s">
        <v>74</v>
      </c>
      <c r="I149">
        <v>4</v>
      </c>
      <c r="J149">
        <v>120</v>
      </c>
      <c r="K149">
        <v>0.05</v>
      </c>
      <c r="L149">
        <v>456</v>
      </c>
      <c r="M149" s="1" t="s">
        <v>25</v>
      </c>
    </row>
    <row r="150" spans="1:13" x14ac:dyDescent="0.3">
      <c r="A150" s="1" t="s">
        <v>86</v>
      </c>
      <c r="B150" s="2">
        <v>46081</v>
      </c>
      <c r="C150" s="1" t="s">
        <v>14</v>
      </c>
      <c r="D150" s="1" t="s">
        <v>49</v>
      </c>
      <c r="E150" s="1" t="s">
        <v>50</v>
      </c>
      <c r="F150" s="1" t="s">
        <v>45</v>
      </c>
      <c r="G150" s="1" t="s">
        <v>41</v>
      </c>
      <c r="H150" s="1" t="s">
        <v>71</v>
      </c>
      <c r="I150">
        <v>5</v>
      </c>
      <c r="J150">
        <v>35</v>
      </c>
      <c r="K150">
        <v>0</v>
      </c>
      <c r="L150">
        <v>175</v>
      </c>
      <c r="M150" s="1" t="s">
        <v>25</v>
      </c>
    </row>
    <row r="151" spans="1:13" x14ac:dyDescent="0.3">
      <c r="A151" s="1" t="s">
        <v>86</v>
      </c>
      <c r="B151" s="2">
        <v>46063</v>
      </c>
      <c r="C151" s="1" t="s">
        <v>14</v>
      </c>
      <c r="D151" s="1" t="s">
        <v>34</v>
      </c>
      <c r="E151" s="1" t="s">
        <v>35</v>
      </c>
      <c r="F151" s="1" t="s">
        <v>28</v>
      </c>
      <c r="G151" s="1" t="s">
        <v>18</v>
      </c>
      <c r="H151" s="1" t="s">
        <v>36</v>
      </c>
      <c r="I151">
        <v>3</v>
      </c>
      <c r="J151">
        <v>120</v>
      </c>
      <c r="K151">
        <v>0</v>
      </c>
      <c r="L151">
        <v>342</v>
      </c>
      <c r="M151" s="1" t="s">
        <v>25</v>
      </c>
    </row>
    <row r="152" spans="1:13" x14ac:dyDescent="0.3">
      <c r="A152" s="1" t="s">
        <v>86</v>
      </c>
      <c r="B152" s="2">
        <v>46077</v>
      </c>
      <c r="C152" s="1" t="s">
        <v>14</v>
      </c>
      <c r="D152" s="1" t="s">
        <v>61</v>
      </c>
      <c r="E152" s="1" t="s">
        <v>62</v>
      </c>
      <c r="F152" s="1" t="s">
        <v>40</v>
      </c>
      <c r="G152" s="1" t="s">
        <v>18</v>
      </c>
      <c r="H152" s="1" t="s">
        <v>84</v>
      </c>
      <c r="I152">
        <v>5</v>
      </c>
      <c r="J152">
        <v>160</v>
      </c>
      <c r="K152">
        <v>0</v>
      </c>
      <c r="L152">
        <v>800</v>
      </c>
      <c r="M152" s="1" t="s">
        <v>20</v>
      </c>
    </row>
    <row r="153" spans="1:13" x14ac:dyDescent="0.3">
      <c r="A153" s="1" t="s">
        <v>86</v>
      </c>
      <c r="B153" s="2">
        <v>46079</v>
      </c>
      <c r="C153" s="1" t="s">
        <v>14</v>
      </c>
      <c r="D153" s="1" t="s">
        <v>57</v>
      </c>
      <c r="E153" s="1" t="s">
        <v>58</v>
      </c>
      <c r="F153" s="1" t="s">
        <v>17</v>
      </c>
      <c r="G153" s="1" t="s">
        <v>18</v>
      </c>
      <c r="H153" s="1" t="s">
        <v>29</v>
      </c>
      <c r="I153">
        <v>2</v>
      </c>
      <c r="J153">
        <v>45</v>
      </c>
      <c r="K153">
        <v>0</v>
      </c>
      <c r="L153">
        <v>90</v>
      </c>
      <c r="M153" s="1" t="s">
        <v>33</v>
      </c>
    </row>
    <row r="154" spans="1:13" x14ac:dyDescent="0.3">
      <c r="A154" s="1" t="s">
        <v>86</v>
      </c>
      <c r="B154" s="2">
        <v>46066</v>
      </c>
      <c r="C154" s="1" t="s">
        <v>14</v>
      </c>
      <c r="D154" s="1" t="s">
        <v>54</v>
      </c>
      <c r="E154" s="1" t="s">
        <v>55</v>
      </c>
      <c r="F154" s="1" t="s">
        <v>23</v>
      </c>
      <c r="G154" s="1" t="s">
        <v>41</v>
      </c>
      <c r="H154" s="1" t="s">
        <v>59</v>
      </c>
      <c r="I154">
        <v>1</v>
      </c>
      <c r="J154">
        <v>75</v>
      </c>
      <c r="K154">
        <v>0.05</v>
      </c>
      <c r="L154">
        <v>71.25</v>
      </c>
      <c r="M154" s="1" t="s">
        <v>20</v>
      </c>
    </row>
    <row r="155" spans="1:13" x14ac:dyDescent="0.3">
      <c r="A155" s="1" t="s">
        <v>86</v>
      </c>
      <c r="B155" s="2">
        <v>46059</v>
      </c>
      <c r="C155" s="1" t="s">
        <v>14</v>
      </c>
      <c r="D155" s="1" t="s">
        <v>21</v>
      </c>
      <c r="E155" s="1" t="s">
        <v>22</v>
      </c>
      <c r="F155" s="1" t="s">
        <v>23</v>
      </c>
      <c r="G155" s="1" t="s">
        <v>41</v>
      </c>
      <c r="H155" s="1" t="s">
        <v>85</v>
      </c>
      <c r="I155">
        <v>5</v>
      </c>
      <c r="J155">
        <v>220</v>
      </c>
      <c r="K155">
        <v>0</v>
      </c>
      <c r="L155">
        <v>1100</v>
      </c>
      <c r="M155" s="1" t="s">
        <v>33</v>
      </c>
    </row>
    <row r="156" spans="1:13" x14ac:dyDescent="0.3">
      <c r="A156" s="1" t="s">
        <v>86</v>
      </c>
      <c r="B156" s="2">
        <v>46081</v>
      </c>
      <c r="C156" s="1" t="s">
        <v>14</v>
      </c>
      <c r="D156" s="1" t="s">
        <v>54</v>
      </c>
      <c r="E156" s="1" t="s">
        <v>55</v>
      </c>
      <c r="F156" s="1" t="s">
        <v>23</v>
      </c>
      <c r="G156" s="1" t="s">
        <v>18</v>
      </c>
      <c r="H156" s="1" t="s">
        <v>19</v>
      </c>
      <c r="I156">
        <v>5</v>
      </c>
      <c r="J156">
        <v>75</v>
      </c>
      <c r="K156">
        <v>0</v>
      </c>
      <c r="L156">
        <v>337.5</v>
      </c>
      <c r="M156" s="1" t="s">
        <v>20</v>
      </c>
    </row>
    <row r="157" spans="1:13" x14ac:dyDescent="0.3">
      <c r="A157" s="1" t="s">
        <v>86</v>
      </c>
      <c r="B157" s="2">
        <v>46077</v>
      </c>
      <c r="C157" s="1" t="s">
        <v>14</v>
      </c>
      <c r="D157" s="1" t="s">
        <v>43</v>
      </c>
      <c r="E157" s="1" t="s">
        <v>44</v>
      </c>
      <c r="F157" s="1" t="s">
        <v>45</v>
      </c>
      <c r="G157" s="1" t="s">
        <v>18</v>
      </c>
      <c r="H157" s="1" t="s">
        <v>46</v>
      </c>
      <c r="I157">
        <v>3</v>
      </c>
      <c r="J157">
        <v>140</v>
      </c>
      <c r="K157">
        <v>0</v>
      </c>
      <c r="L157">
        <v>420</v>
      </c>
      <c r="M157" s="1" t="s">
        <v>33</v>
      </c>
    </row>
    <row r="158" spans="1:13" x14ac:dyDescent="0.3">
      <c r="A158" s="1" t="s">
        <v>86</v>
      </c>
      <c r="B158" s="2">
        <v>46073</v>
      </c>
      <c r="C158" s="1" t="s">
        <v>14</v>
      </c>
      <c r="D158" s="1" t="s">
        <v>43</v>
      </c>
      <c r="E158" s="1" t="s">
        <v>44</v>
      </c>
      <c r="F158" s="1" t="s">
        <v>45</v>
      </c>
      <c r="G158" s="1" t="s">
        <v>41</v>
      </c>
      <c r="H158" s="1" t="s">
        <v>53</v>
      </c>
      <c r="I158">
        <v>2</v>
      </c>
      <c r="J158">
        <v>140</v>
      </c>
      <c r="K158">
        <v>0</v>
      </c>
      <c r="L158">
        <v>280</v>
      </c>
      <c r="M158" s="1" t="s">
        <v>37</v>
      </c>
    </row>
    <row r="159" spans="1:13" x14ac:dyDescent="0.3">
      <c r="A159" s="1" t="s">
        <v>86</v>
      </c>
      <c r="B159" s="2">
        <v>46076</v>
      </c>
      <c r="C159" s="1" t="s">
        <v>14</v>
      </c>
      <c r="D159" s="1" t="s">
        <v>61</v>
      </c>
      <c r="E159" s="1" t="s">
        <v>62</v>
      </c>
      <c r="F159" s="1" t="s">
        <v>40</v>
      </c>
      <c r="G159" s="1" t="s">
        <v>41</v>
      </c>
      <c r="H159" s="1" t="s">
        <v>46</v>
      </c>
      <c r="I159">
        <v>5</v>
      </c>
      <c r="J159">
        <v>160</v>
      </c>
      <c r="K159">
        <v>0.05</v>
      </c>
      <c r="L159">
        <v>760</v>
      </c>
      <c r="M159" s="1" t="s">
        <v>20</v>
      </c>
    </row>
    <row r="160" spans="1:13" x14ac:dyDescent="0.3">
      <c r="A160" s="1" t="s">
        <v>86</v>
      </c>
      <c r="B160" s="2">
        <v>46061</v>
      </c>
      <c r="C160" s="1" t="s">
        <v>14</v>
      </c>
      <c r="D160" s="1" t="s">
        <v>57</v>
      </c>
      <c r="E160" s="1" t="s">
        <v>58</v>
      </c>
      <c r="F160" s="1" t="s">
        <v>17</v>
      </c>
      <c r="G160" s="1" t="s">
        <v>41</v>
      </c>
      <c r="H160" s="1" t="s">
        <v>75</v>
      </c>
      <c r="I160">
        <v>2</v>
      </c>
      <c r="J160">
        <v>45</v>
      </c>
      <c r="K160">
        <v>0</v>
      </c>
      <c r="L160">
        <v>90</v>
      </c>
      <c r="M160" s="1" t="s">
        <v>37</v>
      </c>
    </row>
    <row r="161" spans="1:13" x14ac:dyDescent="0.3">
      <c r="A161" s="1" t="s">
        <v>86</v>
      </c>
      <c r="B161" s="2">
        <v>46077</v>
      </c>
      <c r="C161" s="1" t="s">
        <v>14</v>
      </c>
      <c r="D161" s="1" t="s">
        <v>26</v>
      </c>
      <c r="E161" s="1" t="s">
        <v>27</v>
      </c>
      <c r="F161" s="1" t="s">
        <v>28</v>
      </c>
      <c r="G161" s="1" t="s">
        <v>18</v>
      </c>
      <c r="H161" s="1" t="s">
        <v>60</v>
      </c>
      <c r="I161">
        <v>3</v>
      </c>
      <c r="J161">
        <v>180</v>
      </c>
      <c r="K161">
        <v>0</v>
      </c>
      <c r="L161">
        <v>540</v>
      </c>
      <c r="M161" s="1" t="s">
        <v>37</v>
      </c>
    </row>
    <row r="162" spans="1:13" x14ac:dyDescent="0.3">
      <c r="A162" s="1" t="s">
        <v>86</v>
      </c>
      <c r="B162" s="2">
        <v>46057</v>
      </c>
      <c r="C162" s="1" t="s">
        <v>14</v>
      </c>
      <c r="D162" s="1" t="s">
        <v>69</v>
      </c>
      <c r="E162" s="1" t="s">
        <v>70</v>
      </c>
      <c r="F162" s="1" t="s">
        <v>28</v>
      </c>
      <c r="G162" s="1" t="s">
        <v>41</v>
      </c>
      <c r="H162" s="1" t="s">
        <v>19</v>
      </c>
      <c r="I162">
        <v>3</v>
      </c>
      <c r="J162">
        <v>95</v>
      </c>
      <c r="K162">
        <v>0</v>
      </c>
      <c r="L162">
        <v>285</v>
      </c>
      <c r="M162" s="1" t="s">
        <v>20</v>
      </c>
    </row>
    <row r="163" spans="1:13" x14ac:dyDescent="0.3">
      <c r="A163" s="1" t="s">
        <v>86</v>
      </c>
      <c r="B163" s="2">
        <v>46060</v>
      </c>
      <c r="C163" s="1" t="s">
        <v>14</v>
      </c>
      <c r="D163" s="1" t="s">
        <v>72</v>
      </c>
      <c r="E163" s="1" t="s">
        <v>73</v>
      </c>
      <c r="F163" s="1" t="s">
        <v>17</v>
      </c>
      <c r="G163" s="1" t="s">
        <v>18</v>
      </c>
      <c r="H163" s="1" t="s">
        <v>75</v>
      </c>
      <c r="I163">
        <v>2</v>
      </c>
      <c r="J163">
        <v>170</v>
      </c>
      <c r="K163">
        <v>0.1</v>
      </c>
      <c r="L163">
        <v>306</v>
      </c>
      <c r="M163" s="1" t="s">
        <v>25</v>
      </c>
    </row>
    <row r="164" spans="1:13" x14ac:dyDescent="0.3">
      <c r="A164" s="1" t="s">
        <v>86</v>
      </c>
      <c r="B164" s="2">
        <v>46074</v>
      </c>
      <c r="C164" s="1" t="s">
        <v>14</v>
      </c>
      <c r="D164" s="1" t="s">
        <v>47</v>
      </c>
      <c r="E164" s="1" t="s">
        <v>48</v>
      </c>
      <c r="F164" s="1" t="s">
        <v>45</v>
      </c>
      <c r="G164" s="1" t="s">
        <v>41</v>
      </c>
      <c r="H164" s="1" t="s">
        <v>87</v>
      </c>
      <c r="I164">
        <v>1</v>
      </c>
      <c r="J164">
        <v>85</v>
      </c>
      <c r="K164">
        <v>0</v>
      </c>
      <c r="L164">
        <v>76.5</v>
      </c>
      <c r="M164" s="1" t="s">
        <v>37</v>
      </c>
    </row>
    <row r="165" spans="1:13" x14ac:dyDescent="0.3">
      <c r="A165" s="1" t="s">
        <v>86</v>
      </c>
      <c r="B165" s="2">
        <v>46071</v>
      </c>
      <c r="C165" s="1" t="s">
        <v>14</v>
      </c>
      <c r="D165" s="1" t="s">
        <v>49</v>
      </c>
      <c r="E165" s="1" t="s">
        <v>50</v>
      </c>
      <c r="F165" s="1" t="s">
        <v>45</v>
      </c>
      <c r="G165" s="1" t="s">
        <v>18</v>
      </c>
      <c r="H165" s="1" t="s">
        <v>52</v>
      </c>
      <c r="I165">
        <v>2</v>
      </c>
      <c r="J165">
        <v>35</v>
      </c>
      <c r="K165">
        <v>0.1</v>
      </c>
      <c r="L165">
        <v>63</v>
      </c>
      <c r="M165" s="1" t="s">
        <v>37</v>
      </c>
    </row>
    <row r="166" spans="1:13" x14ac:dyDescent="0.3">
      <c r="A166" s="1" t="s">
        <v>86</v>
      </c>
      <c r="B166" s="2">
        <v>46061</v>
      </c>
      <c r="C166" s="1" t="s">
        <v>14</v>
      </c>
      <c r="D166" s="1" t="s">
        <v>43</v>
      </c>
      <c r="E166" s="1" t="s">
        <v>44</v>
      </c>
      <c r="F166" s="1" t="s">
        <v>45</v>
      </c>
      <c r="G166" s="1" t="s">
        <v>18</v>
      </c>
      <c r="H166" s="1" t="s">
        <v>71</v>
      </c>
      <c r="I166">
        <v>2</v>
      </c>
      <c r="J166">
        <v>140</v>
      </c>
      <c r="K166">
        <v>0</v>
      </c>
      <c r="L166">
        <v>280</v>
      </c>
      <c r="M166" s="1" t="s">
        <v>25</v>
      </c>
    </row>
    <row r="167" spans="1:13" x14ac:dyDescent="0.3">
      <c r="A167" s="1" t="s">
        <v>86</v>
      </c>
      <c r="B167" s="2">
        <v>46061</v>
      </c>
      <c r="C167" s="1" t="s">
        <v>14</v>
      </c>
      <c r="D167" s="1" t="s">
        <v>69</v>
      </c>
      <c r="E167" s="1" t="s">
        <v>70</v>
      </c>
      <c r="F167" s="1" t="s">
        <v>28</v>
      </c>
      <c r="G167" s="1" t="s">
        <v>41</v>
      </c>
      <c r="H167" s="1" t="s">
        <v>24</v>
      </c>
      <c r="I167">
        <v>5</v>
      </c>
      <c r="J167">
        <v>95</v>
      </c>
      <c r="K167">
        <v>0</v>
      </c>
      <c r="L167">
        <v>475</v>
      </c>
      <c r="M167" s="1" t="s">
        <v>37</v>
      </c>
    </row>
    <row r="168" spans="1:13" x14ac:dyDescent="0.3">
      <c r="A168" s="1" t="s">
        <v>86</v>
      </c>
      <c r="B168" s="2">
        <v>46075</v>
      </c>
      <c r="C168" s="1" t="s">
        <v>14</v>
      </c>
      <c r="D168" s="1" t="s">
        <v>21</v>
      </c>
      <c r="E168" s="1" t="s">
        <v>22</v>
      </c>
      <c r="F168" s="1" t="s">
        <v>23</v>
      </c>
      <c r="G168" s="1" t="s">
        <v>41</v>
      </c>
      <c r="H168" s="1" t="s">
        <v>42</v>
      </c>
      <c r="I168">
        <v>5</v>
      </c>
      <c r="J168">
        <v>220</v>
      </c>
      <c r="K168">
        <v>0.1</v>
      </c>
      <c r="L168">
        <v>990</v>
      </c>
      <c r="M168" s="1" t="s">
        <v>20</v>
      </c>
    </row>
    <row r="169" spans="1:13" x14ac:dyDescent="0.3">
      <c r="A169" s="1" t="s">
        <v>86</v>
      </c>
      <c r="B169" s="2">
        <v>46062</v>
      </c>
      <c r="C169" s="1" t="s">
        <v>14</v>
      </c>
      <c r="D169" s="1" t="s">
        <v>30</v>
      </c>
      <c r="E169" s="1" t="s">
        <v>31</v>
      </c>
      <c r="F169" s="1" t="s">
        <v>23</v>
      </c>
      <c r="G169" s="1" t="s">
        <v>18</v>
      </c>
      <c r="H169" s="1" t="s">
        <v>79</v>
      </c>
      <c r="I169">
        <v>4</v>
      </c>
      <c r="J169">
        <v>2800</v>
      </c>
      <c r="K169">
        <v>0</v>
      </c>
      <c r="L169">
        <v>11200</v>
      </c>
      <c r="M169" s="1" t="s">
        <v>33</v>
      </c>
    </row>
    <row r="170" spans="1:13" x14ac:dyDescent="0.3">
      <c r="A170" s="1" t="s">
        <v>86</v>
      </c>
      <c r="B170" s="2">
        <v>46068</v>
      </c>
      <c r="C170" s="1" t="s">
        <v>14</v>
      </c>
      <c r="D170" s="1" t="s">
        <v>65</v>
      </c>
      <c r="E170" s="1" t="s">
        <v>66</v>
      </c>
      <c r="F170" s="1" t="s">
        <v>40</v>
      </c>
      <c r="G170" s="1" t="s">
        <v>41</v>
      </c>
      <c r="H170" s="1" t="s">
        <v>75</v>
      </c>
      <c r="I170">
        <v>3</v>
      </c>
      <c r="J170">
        <v>210</v>
      </c>
      <c r="K170">
        <v>0</v>
      </c>
      <c r="L170">
        <v>630</v>
      </c>
      <c r="M170" s="1" t="s">
        <v>20</v>
      </c>
    </row>
    <row r="171" spans="1:13" x14ac:dyDescent="0.3">
      <c r="A171" s="1" t="s">
        <v>86</v>
      </c>
      <c r="B171" s="2">
        <v>46062</v>
      </c>
      <c r="C171" s="1" t="s">
        <v>14</v>
      </c>
      <c r="D171" s="1" t="s">
        <v>54</v>
      </c>
      <c r="E171" s="1" t="s">
        <v>55</v>
      </c>
      <c r="F171" s="1" t="s">
        <v>23</v>
      </c>
      <c r="G171" s="1" t="s">
        <v>18</v>
      </c>
      <c r="H171" s="1" t="s">
        <v>64</v>
      </c>
      <c r="I171">
        <v>5</v>
      </c>
      <c r="J171">
        <v>75</v>
      </c>
      <c r="K171">
        <v>0.05</v>
      </c>
      <c r="L171">
        <v>356.25</v>
      </c>
      <c r="M171" s="1" t="s">
        <v>33</v>
      </c>
    </row>
    <row r="172" spans="1:13" x14ac:dyDescent="0.3">
      <c r="A172" s="1" t="s">
        <v>86</v>
      </c>
      <c r="B172" s="2">
        <v>46074</v>
      </c>
      <c r="C172" s="1" t="s">
        <v>14</v>
      </c>
      <c r="D172" s="1" t="s">
        <v>69</v>
      </c>
      <c r="E172" s="1" t="s">
        <v>70</v>
      </c>
      <c r="F172" s="1" t="s">
        <v>28</v>
      </c>
      <c r="G172" s="1" t="s">
        <v>41</v>
      </c>
      <c r="H172" s="1" t="s">
        <v>56</v>
      </c>
      <c r="I172">
        <v>4</v>
      </c>
      <c r="J172">
        <v>95</v>
      </c>
      <c r="K172">
        <v>0</v>
      </c>
      <c r="L172">
        <v>380</v>
      </c>
      <c r="M172" s="1" t="s">
        <v>33</v>
      </c>
    </row>
    <row r="173" spans="1:13" x14ac:dyDescent="0.3">
      <c r="A173" s="1" t="s">
        <v>86</v>
      </c>
      <c r="B173" s="2">
        <v>46065</v>
      </c>
      <c r="C173" s="1" t="s">
        <v>14</v>
      </c>
      <c r="D173" s="1" t="s">
        <v>65</v>
      </c>
      <c r="E173" s="1" t="s">
        <v>66</v>
      </c>
      <c r="F173" s="1" t="s">
        <v>40</v>
      </c>
      <c r="G173" s="1" t="s">
        <v>18</v>
      </c>
      <c r="H173" s="1" t="s">
        <v>81</v>
      </c>
      <c r="I173">
        <v>3</v>
      </c>
      <c r="J173">
        <v>210</v>
      </c>
      <c r="K173">
        <v>0.1</v>
      </c>
      <c r="L173">
        <v>567</v>
      </c>
      <c r="M173" s="1" t="s">
        <v>25</v>
      </c>
    </row>
    <row r="174" spans="1:13" x14ac:dyDescent="0.3">
      <c r="A174" s="1" t="s">
        <v>86</v>
      </c>
      <c r="B174" s="2">
        <v>46061</v>
      </c>
      <c r="C174" s="1" t="s">
        <v>14</v>
      </c>
      <c r="D174" s="1" t="s">
        <v>65</v>
      </c>
      <c r="E174" s="1" t="s">
        <v>66</v>
      </c>
      <c r="F174" s="1" t="s">
        <v>40</v>
      </c>
      <c r="G174" s="1" t="s">
        <v>41</v>
      </c>
      <c r="H174" s="1" t="s">
        <v>85</v>
      </c>
      <c r="I174">
        <v>2</v>
      </c>
      <c r="J174">
        <v>210</v>
      </c>
      <c r="K174">
        <v>0</v>
      </c>
      <c r="L174">
        <v>420</v>
      </c>
      <c r="M174" s="1" t="s">
        <v>33</v>
      </c>
    </row>
    <row r="175" spans="1:13" x14ac:dyDescent="0.3">
      <c r="A175" s="1" t="s">
        <v>86</v>
      </c>
      <c r="B175" s="2">
        <v>46076</v>
      </c>
      <c r="C175" s="1" t="s">
        <v>14</v>
      </c>
      <c r="D175" s="1" t="s">
        <v>54</v>
      </c>
      <c r="E175" s="1" t="s">
        <v>55</v>
      </c>
      <c r="F175" s="1" t="s">
        <v>23</v>
      </c>
      <c r="G175" s="1" t="s">
        <v>41</v>
      </c>
      <c r="H175" s="1" t="s">
        <v>78</v>
      </c>
      <c r="I175">
        <v>2</v>
      </c>
      <c r="J175">
        <v>75</v>
      </c>
      <c r="K175">
        <v>0</v>
      </c>
      <c r="L175">
        <v>150</v>
      </c>
      <c r="M175" s="1" t="s">
        <v>20</v>
      </c>
    </row>
    <row r="176" spans="1:13" x14ac:dyDescent="0.3">
      <c r="A176" s="1" t="s">
        <v>86</v>
      </c>
      <c r="B176" s="2">
        <v>46069</v>
      </c>
      <c r="C176" s="1" t="s">
        <v>14</v>
      </c>
      <c r="D176" s="1" t="s">
        <v>47</v>
      </c>
      <c r="E176" s="1" t="s">
        <v>48</v>
      </c>
      <c r="F176" s="1" t="s">
        <v>45</v>
      </c>
      <c r="G176" s="1" t="s">
        <v>41</v>
      </c>
      <c r="H176" s="1" t="s">
        <v>75</v>
      </c>
      <c r="I176">
        <v>4</v>
      </c>
      <c r="J176">
        <v>85</v>
      </c>
      <c r="K176">
        <v>0.05</v>
      </c>
      <c r="L176">
        <v>323</v>
      </c>
      <c r="M176" s="1" t="s">
        <v>37</v>
      </c>
    </row>
    <row r="177" spans="1:13" x14ac:dyDescent="0.3">
      <c r="A177" s="1" t="s">
        <v>86</v>
      </c>
      <c r="B177" s="2">
        <v>46072</v>
      </c>
      <c r="C177" s="1" t="s">
        <v>14</v>
      </c>
      <c r="D177" s="1" t="s">
        <v>30</v>
      </c>
      <c r="E177" s="1" t="s">
        <v>31</v>
      </c>
      <c r="F177" s="1" t="s">
        <v>23</v>
      </c>
      <c r="G177" s="1" t="s">
        <v>41</v>
      </c>
      <c r="H177" s="1" t="s">
        <v>71</v>
      </c>
      <c r="I177">
        <v>1</v>
      </c>
      <c r="J177">
        <v>2800</v>
      </c>
      <c r="K177">
        <v>0</v>
      </c>
      <c r="L177">
        <v>2800</v>
      </c>
      <c r="M177" s="1" t="s">
        <v>25</v>
      </c>
    </row>
    <row r="178" spans="1:13" x14ac:dyDescent="0.3">
      <c r="A178" s="1" t="s">
        <v>86</v>
      </c>
      <c r="B178" s="2">
        <v>46062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41</v>
      </c>
      <c r="H178" s="1" t="s">
        <v>56</v>
      </c>
      <c r="I178">
        <v>2</v>
      </c>
      <c r="J178">
        <v>60</v>
      </c>
      <c r="K178">
        <v>0</v>
      </c>
      <c r="L178">
        <v>120</v>
      </c>
      <c r="M178" s="1" t="s">
        <v>25</v>
      </c>
    </row>
    <row r="179" spans="1:13" x14ac:dyDescent="0.3">
      <c r="A179" s="1" t="s">
        <v>86</v>
      </c>
      <c r="B179" s="2">
        <v>46060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18</v>
      </c>
      <c r="H179" s="1" t="s">
        <v>42</v>
      </c>
      <c r="I179">
        <v>3</v>
      </c>
      <c r="J179">
        <v>60</v>
      </c>
      <c r="K179">
        <v>0.1</v>
      </c>
      <c r="L179">
        <v>162</v>
      </c>
      <c r="M179" s="1" t="s">
        <v>37</v>
      </c>
    </row>
    <row r="180" spans="1:13" x14ac:dyDescent="0.3">
      <c r="A180" s="1" t="s">
        <v>86</v>
      </c>
      <c r="B180" s="2">
        <v>46079</v>
      </c>
      <c r="C180" s="1" t="s">
        <v>14</v>
      </c>
      <c r="D180" s="1" t="s">
        <v>21</v>
      </c>
      <c r="E180" s="1" t="s">
        <v>22</v>
      </c>
      <c r="F180" s="1" t="s">
        <v>23</v>
      </c>
      <c r="G180" s="1" t="s">
        <v>41</v>
      </c>
      <c r="H180" s="1" t="s">
        <v>71</v>
      </c>
      <c r="I180">
        <v>4</v>
      </c>
      <c r="J180">
        <v>220</v>
      </c>
      <c r="K180">
        <v>0</v>
      </c>
      <c r="L180">
        <v>836</v>
      </c>
      <c r="M180" s="1" t="s">
        <v>20</v>
      </c>
    </row>
    <row r="181" spans="1:13" x14ac:dyDescent="0.3">
      <c r="A181" s="1" t="s">
        <v>86</v>
      </c>
      <c r="B181" s="2">
        <v>46073</v>
      </c>
      <c r="C181" s="1" t="s">
        <v>14</v>
      </c>
      <c r="D181" s="1" t="s">
        <v>21</v>
      </c>
      <c r="E181" s="1" t="s">
        <v>22</v>
      </c>
      <c r="F181" s="1" t="s">
        <v>23</v>
      </c>
      <c r="G181" s="1" t="s">
        <v>41</v>
      </c>
      <c r="H181" s="1" t="s">
        <v>56</v>
      </c>
      <c r="I181">
        <v>3</v>
      </c>
      <c r="J181">
        <v>220</v>
      </c>
      <c r="K181">
        <v>0</v>
      </c>
      <c r="L181">
        <v>594</v>
      </c>
      <c r="M181" s="1" t="s">
        <v>33</v>
      </c>
    </row>
    <row r="182" spans="1:13" x14ac:dyDescent="0.3">
      <c r="A182" s="1" t="s">
        <v>86</v>
      </c>
      <c r="B182" s="2">
        <v>46070</v>
      </c>
      <c r="C182" s="1" t="s">
        <v>14</v>
      </c>
      <c r="D182" s="1" t="s">
        <v>54</v>
      </c>
      <c r="E182" s="1" t="s">
        <v>55</v>
      </c>
      <c r="F182" s="1" t="s">
        <v>23</v>
      </c>
      <c r="G182" s="1" t="s">
        <v>18</v>
      </c>
      <c r="H182" s="1" t="s">
        <v>74</v>
      </c>
      <c r="I182">
        <v>2</v>
      </c>
      <c r="J182">
        <v>75</v>
      </c>
      <c r="K182">
        <v>0</v>
      </c>
      <c r="L182">
        <v>150</v>
      </c>
      <c r="M182" s="1" t="s">
        <v>25</v>
      </c>
    </row>
    <row r="183" spans="1:13" x14ac:dyDescent="0.3">
      <c r="A183" s="1" t="s">
        <v>86</v>
      </c>
      <c r="B183" s="2">
        <v>46079</v>
      </c>
      <c r="C183" s="1" t="s">
        <v>14</v>
      </c>
      <c r="D183" s="1" t="s">
        <v>21</v>
      </c>
      <c r="E183" s="1" t="s">
        <v>22</v>
      </c>
      <c r="F183" s="1" t="s">
        <v>23</v>
      </c>
      <c r="G183" s="1" t="s">
        <v>41</v>
      </c>
      <c r="H183" s="1" t="s">
        <v>87</v>
      </c>
      <c r="I183">
        <v>5</v>
      </c>
      <c r="J183">
        <v>220</v>
      </c>
      <c r="K183">
        <v>0.05</v>
      </c>
      <c r="L183">
        <v>1045</v>
      </c>
      <c r="M183" s="1" t="s">
        <v>33</v>
      </c>
    </row>
    <row r="184" spans="1:13" x14ac:dyDescent="0.3">
      <c r="A184" s="1" t="s">
        <v>86</v>
      </c>
      <c r="B184" s="2">
        <v>46078</v>
      </c>
      <c r="C184" s="1" t="s">
        <v>14</v>
      </c>
      <c r="D184" s="1" t="s">
        <v>15</v>
      </c>
      <c r="E184" s="1" t="s">
        <v>16</v>
      </c>
      <c r="F184" s="1" t="s">
        <v>17</v>
      </c>
      <c r="G184" s="1" t="s">
        <v>18</v>
      </c>
      <c r="H184" s="1" t="s">
        <v>46</v>
      </c>
      <c r="I184">
        <v>5</v>
      </c>
      <c r="J184">
        <v>60</v>
      </c>
      <c r="K184">
        <v>0.1</v>
      </c>
      <c r="L184">
        <v>270</v>
      </c>
      <c r="M184" s="1" t="s">
        <v>25</v>
      </c>
    </row>
    <row r="185" spans="1:13" x14ac:dyDescent="0.3">
      <c r="A185" s="1" t="s">
        <v>86</v>
      </c>
      <c r="B185" s="2">
        <v>46079</v>
      </c>
      <c r="C185" s="1" t="s">
        <v>14</v>
      </c>
      <c r="D185" s="1" t="s">
        <v>47</v>
      </c>
      <c r="E185" s="1" t="s">
        <v>48</v>
      </c>
      <c r="F185" s="1" t="s">
        <v>45</v>
      </c>
      <c r="G185" s="1" t="s">
        <v>18</v>
      </c>
      <c r="H185" s="1" t="s">
        <v>56</v>
      </c>
      <c r="I185">
        <v>4</v>
      </c>
      <c r="J185">
        <v>85</v>
      </c>
      <c r="K185">
        <v>0</v>
      </c>
      <c r="L185">
        <v>340</v>
      </c>
      <c r="M185" s="1" t="s">
        <v>20</v>
      </c>
    </row>
    <row r="186" spans="1:13" x14ac:dyDescent="0.3">
      <c r="A186" s="1" t="s">
        <v>86</v>
      </c>
      <c r="B186" s="2">
        <v>46058</v>
      </c>
      <c r="C186" s="1" t="s">
        <v>14</v>
      </c>
      <c r="D186" s="1" t="s">
        <v>38</v>
      </c>
      <c r="E186" s="1" t="s">
        <v>39</v>
      </c>
      <c r="F186" s="1" t="s">
        <v>40</v>
      </c>
      <c r="G186" s="1" t="s">
        <v>18</v>
      </c>
      <c r="H186" s="1" t="s">
        <v>77</v>
      </c>
      <c r="I186">
        <v>5</v>
      </c>
      <c r="J186">
        <v>55</v>
      </c>
      <c r="K186">
        <v>0</v>
      </c>
      <c r="L186">
        <v>275</v>
      </c>
      <c r="M186" s="1" t="s">
        <v>25</v>
      </c>
    </row>
    <row r="187" spans="1:13" x14ac:dyDescent="0.3">
      <c r="A187" s="1" t="s">
        <v>86</v>
      </c>
      <c r="B187" s="2">
        <v>46060</v>
      </c>
      <c r="C187" s="1" t="s">
        <v>14</v>
      </c>
      <c r="D187" s="1" t="s">
        <v>26</v>
      </c>
      <c r="E187" s="1" t="s">
        <v>27</v>
      </c>
      <c r="F187" s="1" t="s">
        <v>28</v>
      </c>
      <c r="G187" s="1" t="s">
        <v>41</v>
      </c>
      <c r="H187" s="1" t="s">
        <v>87</v>
      </c>
      <c r="I187">
        <v>5</v>
      </c>
      <c r="J187">
        <v>180</v>
      </c>
      <c r="K187">
        <v>0</v>
      </c>
      <c r="L187">
        <v>900</v>
      </c>
      <c r="M187" s="1" t="s">
        <v>25</v>
      </c>
    </row>
    <row r="188" spans="1:13" x14ac:dyDescent="0.3">
      <c r="A188" s="1" t="s">
        <v>86</v>
      </c>
      <c r="B188" s="2">
        <v>46066</v>
      </c>
      <c r="C188" s="1" t="s">
        <v>14</v>
      </c>
      <c r="D188" s="1" t="s">
        <v>38</v>
      </c>
      <c r="E188" s="1" t="s">
        <v>39</v>
      </c>
      <c r="F188" s="1" t="s">
        <v>40</v>
      </c>
      <c r="G188" s="1" t="s">
        <v>41</v>
      </c>
      <c r="H188" s="1" t="s">
        <v>53</v>
      </c>
      <c r="I188">
        <v>1</v>
      </c>
      <c r="J188">
        <v>55</v>
      </c>
      <c r="K188">
        <v>0</v>
      </c>
      <c r="L188">
        <v>55</v>
      </c>
      <c r="M188" s="1" t="s">
        <v>37</v>
      </c>
    </row>
    <row r="189" spans="1:13" x14ac:dyDescent="0.3">
      <c r="A189" s="1" t="s">
        <v>86</v>
      </c>
      <c r="B189" s="2">
        <v>46072</v>
      </c>
      <c r="C189" s="1" t="s">
        <v>14</v>
      </c>
      <c r="D189" s="1" t="s">
        <v>69</v>
      </c>
      <c r="E189" s="1" t="s">
        <v>70</v>
      </c>
      <c r="F189" s="1" t="s">
        <v>28</v>
      </c>
      <c r="G189" s="1" t="s">
        <v>18</v>
      </c>
      <c r="H189" s="1" t="s">
        <v>52</v>
      </c>
      <c r="I189">
        <v>2</v>
      </c>
      <c r="J189">
        <v>95</v>
      </c>
      <c r="K189">
        <v>0</v>
      </c>
      <c r="L189">
        <v>190</v>
      </c>
      <c r="M189" s="1" t="s">
        <v>37</v>
      </c>
    </row>
    <row r="190" spans="1:13" x14ac:dyDescent="0.3">
      <c r="A190" s="1" t="s">
        <v>86</v>
      </c>
      <c r="B190" s="2">
        <v>46075</v>
      </c>
      <c r="C190" s="1" t="s">
        <v>14</v>
      </c>
      <c r="D190" s="1" t="s">
        <v>38</v>
      </c>
      <c r="E190" s="1" t="s">
        <v>39</v>
      </c>
      <c r="F190" s="1" t="s">
        <v>40</v>
      </c>
      <c r="G190" s="1" t="s">
        <v>18</v>
      </c>
      <c r="H190" s="1" t="s">
        <v>78</v>
      </c>
      <c r="I190">
        <v>5</v>
      </c>
      <c r="J190">
        <v>55</v>
      </c>
      <c r="K190">
        <v>0</v>
      </c>
      <c r="L190">
        <v>275</v>
      </c>
      <c r="M190" s="1" t="s">
        <v>37</v>
      </c>
    </row>
    <row r="191" spans="1:13" x14ac:dyDescent="0.3">
      <c r="A191" s="1" t="s">
        <v>86</v>
      </c>
      <c r="B191" s="2">
        <v>46062</v>
      </c>
      <c r="C191" s="1" t="s">
        <v>14</v>
      </c>
      <c r="D191" s="1" t="s">
        <v>21</v>
      </c>
      <c r="E191" s="1" t="s">
        <v>22</v>
      </c>
      <c r="F191" s="1" t="s">
        <v>23</v>
      </c>
      <c r="G191" s="1" t="s">
        <v>18</v>
      </c>
      <c r="H191" s="1" t="s">
        <v>80</v>
      </c>
      <c r="I191">
        <v>5</v>
      </c>
      <c r="J191">
        <v>220</v>
      </c>
      <c r="K191">
        <v>0</v>
      </c>
      <c r="L191">
        <v>1045</v>
      </c>
      <c r="M191" s="1" t="s">
        <v>37</v>
      </c>
    </row>
    <row r="192" spans="1:13" x14ac:dyDescent="0.3">
      <c r="A192" s="1" t="s">
        <v>86</v>
      </c>
      <c r="B192" s="2">
        <v>46068</v>
      </c>
      <c r="C192" s="1" t="s">
        <v>14</v>
      </c>
      <c r="D192" s="1" t="s">
        <v>47</v>
      </c>
      <c r="E192" s="1" t="s">
        <v>48</v>
      </c>
      <c r="F192" s="1" t="s">
        <v>45</v>
      </c>
      <c r="G192" s="1" t="s">
        <v>41</v>
      </c>
      <c r="H192" s="1" t="s">
        <v>71</v>
      </c>
      <c r="I192">
        <v>1</v>
      </c>
      <c r="J192">
        <v>85</v>
      </c>
      <c r="K192">
        <v>0.05</v>
      </c>
      <c r="L192">
        <v>80.75</v>
      </c>
      <c r="M192" s="1" t="s">
        <v>37</v>
      </c>
    </row>
    <row r="193" spans="1:13" x14ac:dyDescent="0.3">
      <c r="A193" s="1" t="s">
        <v>86</v>
      </c>
      <c r="B193" s="2">
        <v>46075</v>
      </c>
      <c r="C193" s="1" t="s">
        <v>14</v>
      </c>
      <c r="D193" s="1" t="s">
        <v>49</v>
      </c>
      <c r="E193" s="1" t="s">
        <v>50</v>
      </c>
      <c r="F193" s="1" t="s">
        <v>45</v>
      </c>
      <c r="G193" s="1" t="s">
        <v>41</v>
      </c>
      <c r="H193" s="1" t="s">
        <v>75</v>
      </c>
      <c r="I193">
        <v>5</v>
      </c>
      <c r="J193">
        <v>35</v>
      </c>
      <c r="K193">
        <v>0.05</v>
      </c>
      <c r="L193">
        <v>166.25</v>
      </c>
      <c r="M193" s="1" t="s">
        <v>25</v>
      </c>
    </row>
    <row r="194" spans="1:13" x14ac:dyDescent="0.3">
      <c r="A194" s="1" t="s">
        <v>86</v>
      </c>
      <c r="B194" s="2">
        <v>46073</v>
      </c>
      <c r="C194" s="1" t="s">
        <v>14</v>
      </c>
      <c r="D194" s="1" t="s">
        <v>49</v>
      </c>
      <c r="E194" s="1" t="s">
        <v>50</v>
      </c>
      <c r="F194" s="1" t="s">
        <v>45</v>
      </c>
      <c r="G194" s="1" t="s">
        <v>18</v>
      </c>
      <c r="H194" s="1" t="s">
        <v>85</v>
      </c>
      <c r="I194">
        <v>2</v>
      </c>
      <c r="J194">
        <v>35</v>
      </c>
      <c r="K194">
        <v>0</v>
      </c>
      <c r="L194">
        <v>70</v>
      </c>
      <c r="M194" s="1" t="s">
        <v>33</v>
      </c>
    </row>
    <row r="195" spans="1:13" x14ac:dyDescent="0.3">
      <c r="A195" s="1" t="s">
        <v>86</v>
      </c>
      <c r="B195" s="2">
        <v>46066</v>
      </c>
      <c r="C195" s="1" t="s">
        <v>14</v>
      </c>
      <c r="D195" s="1" t="s">
        <v>69</v>
      </c>
      <c r="E195" s="1" t="s">
        <v>70</v>
      </c>
      <c r="F195" s="1" t="s">
        <v>28</v>
      </c>
      <c r="G195" s="1" t="s">
        <v>18</v>
      </c>
      <c r="H195" s="1" t="s">
        <v>71</v>
      </c>
      <c r="I195">
        <v>5</v>
      </c>
      <c r="J195">
        <v>95</v>
      </c>
      <c r="K195">
        <v>0</v>
      </c>
      <c r="L195">
        <v>475</v>
      </c>
      <c r="M195" s="1" t="s">
        <v>20</v>
      </c>
    </row>
    <row r="196" spans="1:13" x14ac:dyDescent="0.3">
      <c r="A196" s="1" t="s">
        <v>86</v>
      </c>
      <c r="B196" s="2">
        <v>46078</v>
      </c>
      <c r="C196" s="1" t="s">
        <v>14</v>
      </c>
      <c r="D196" s="1" t="s">
        <v>47</v>
      </c>
      <c r="E196" s="1" t="s">
        <v>48</v>
      </c>
      <c r="F196" s="1" t="s">
        <v>45</v>
      </c>
      <c r="G196" s="1" t="s">
        <v>41</v>
      </c>
      <c r="H196" s="1" t="s">
        <v>60</v>
      </c>
      <c r="I196">
        <v>5</v>
      </c>
      <c r="J196">
        <v>85</v>
      </c>
      <c r="K196">
        <v>0</v>
      </c>
      <c r="L196">
        <v>425</v>
      </c>
      <c r="M196" s="1" t="s">
        <v>25</v>
      </c>
    </row>
    <row r="197" spans="1:13" x14ac:dyDescent="0.3">
      <c r="A197" s="1" t="s">
        <v>86</v>
      </c>
      <c r="B197" s="2">
        <v>46055</v>
      </c>
      <c r="C197" s="1" t="s">
        <v>14</v>
      </c>
      <c r="D197" s="1" t="s">
        <v>21</v>
      </c>
      <c r="E197" s="1" t="s">
        <v>22</v>
      </c>
      <c r="F197" s="1" t="s">
        <v>23</v>
      </c>
      <c r="G197" s="1" t="s">
        <v>41</v>
      </c>
      <c r="H197" s="1" t="s">
        <v>79</v>
      </c>
      <c r="I197">
        <v>5</v>
      </c>
      <c r="J197">
        <v>220</v>
      </c>
      <c r="K197">
        <v>0</v>
      </c>
      <c r="L197">
        <v>1100</v>
      </c>
      <c r="M197" s="1" t="s">
        <v>25</v>
      </c>
    </row>
    <row r="198" spans="1:13" x14ac:dyDescent="0.3">
      <c r="A198" s="1" t="s">
        <v>86</v>
      </c>
      <c r="B198" s="2">
        <v>46056</v>
      </c>
      <c r="C198" s="1" t="s">
        <v>14</v>
      </c>
      <c r="D198" s="1" t="s">
        <v>69</v>
      </c>
      <c r="E198" s="1" t="s">
        <v>70</v>
      </c>
      <c r="F198" s="1" t="s">
        <v>28</v>
      </c>
      <c r="G198" s="1" t="s">
        <v>18</v>
      </c>
      <c r="H198" s="1" t="s">
        <v>46</v>
      </c>
      <c r="I198">
        <v>1</v>
      </c>
      <c r="J198">
        <v>95</v>
      </c>
      <c r="K198">
        <v>0.15</v>
      </c>
      <c r="L198">
        <v>80.75</v>
      </c>
      <c r="M198" s="1" t="s">
        <v>37</v>
      </c>
    </row>
    <row r="199" spans="1:13" x14ac:dyDescent="0.3">
      <c r="A199" s="1" t="s">
        <v>86</v>
      </c>
      <c r="B199" s="2">
        <v>46077</v>
      </c>
      <c r="C199" s="1" t="s">
        <v>14</v>
      </c>
      <c r="D199" s="1" t="s">
        <v>61</v>
      </c>
      <c r="E199" s="1" t="s">
        <v>62</v>
      </c>
      <c r="F199" s="1" t="s">
        <v>40</v>
      </c>
      <c r="G199" s="1" t="s">
        <v>41</v>
      </c>
      <c r="H199" s="1" t="s">
        <v>52</v>
      </c>
      <c r="I199">
        <v>2</v>
      </c>
      <c r="J199">
        <v>160</v>
      </c>
      <c r="K199">
        <v>0</v>
      </c>
      <c r="L199">
        <v>320</v>
      </c>
      <c r="M199" s="1" t="s">
        <v>20</v>
      </c>
    </row>
    <row r="200" spans="1:13" x14ac:dyDescent="0.3">
      <c r="A200" s="1" t="s">
        <v>86</v>
      </c>
      <c r="B200" s="2">
        <v>46065</v>
      </c>
      <c r="C200" s="1" t="s">
        <v>14</v>
      </c>
      <c r="D200" s="1" t="s">
        <v>47</v>
      </c>
      <c r="E200" s="1" t="s">
        <v>48</v>
      </c>
      <c r="F200" s="1" t="s">
        <v>45</v>
      </c>
      <c r="G200" s="1" t="s">
        <v>18</v>
      </c>
      <c r="H200" s="1" t="s">
        <v>85</v>
      </c>
      <c r="I200">
        <v>5</v>
      </c>
      <c r="J200">
        <v>85</v>
      </c>
      <c r="K200">
        <v>0</v>
      </c>
      <c r="L200">
        <v>382.5</v>
      </c>
      <c r="M200" s="1" t="s">
        <v>33</v>
      </c>
    </row>
    <row r="201" spans="1:13" x14ac:dyDescent="0.3">
      <c r="A201" s="1" t="s">
        <v>86</v>
      </c>
      <c r="B201" s="2">
        <v>46066</v>
      </c>
      <c r="C201" s="1" t="s">
        <v>14</v>
      </c>
      <c r="D201" s="1" t="s">
        <v>38</v>
      </c>
      <c r="E201" s="1" t="s">
        <v>39</v>
      </c>
      <c r="F201" s="1" t="s">
        <v>40</v>
      </c>
      <c r="G201" s="1" t="s">
        <v>41</v>
      </c>
      <c r="H201" s="1" t="s">
        <v>78</v>
      </c>
      <c r="I201">
        <v>2</v>
      </c>
      <c r="J201">
        <v>55</v>
      </c>
      <c r="K201">
        <v>0</v>
      </c>
      <c r="L201">
        <v>110</v>
      </c>
      <c r="M201" s="1" t="s">
        <v>25</v>
      </c>
    </row>
    <row r="202" spans="1:13" x14ac:dyDescent="0.3">
      <c r="A202" s="1" t="s">
        <v>133</v>
      </c>
      <c r="B202" s="2">
        <v>46099</v>
      </c>
      <c r="C202" s="1" t="s">
        <v>14</v>
      </c>
      <c r="D202" s="1" t="s">
        <v>57</v>
      </c>
      <c r="E202" s="1" t="s">
        <v>58</v>
      </c>
      <c r="F202" s="1" t="s">
        <v>17</v>
      </c>
      <c r="G202" s="1" t="s">
        <v>18</v>
      </c>
      <c r="H202" s="1" t="s">
        <v>32</v>
      </c>
      <c r="I202">
        <v>4</v>
      </c>
      <c r="J202">
        <v>45</v>
      </c>
      <c r="K202">
        <v>0</v>
      </c>
      <c r="L202">
        <v>180</v>
      </c>
      <c r="M202" s="1" t="s">
        <v>37</v>
      </c>
    </row>
    <row r="203" spans="1:13" x14ac:dyDescent="0.3">
      <c r="A203" s="1" t="s">
        <v>133</v>
      </c>
      <c r="B203" s="2">
        <v>46109</v>
      </c>
      <c r="C203" s="1" t="s">
        <v>14</v>
      </c>
      <c r="D203" s="1" t="s">
        <v>30</v>
      </c>
      <c r="E203" s="1" t="s">
        <v>31</v>
      </c>
      <c r="F203" s="1" t="s">
        <v>23</v>
      </c>
      <c r="G203" s="1" t="s">
        <v>18</v>
      </c>
      <c r="H203" s="1" t="s">
        <v>60</v>
      </c>
      <c r="I203">
        <v>1</v>
      </c>
      <c r="J203">
        <v>2800</v>
      </c>
      <c r="K203">
        <v>0</v>
      </c>
      <c r="L203">
        <v>2800</v>
      </c>
      <c r="M203" s="1" t="s">
        <v>20</v>
      </c>
    </row>
    <row r="204" spans="1:13" x14ac:dyDescent="0.3">
      <c r="A204" s="1" t="s">
        <v>133</v>
      </c>
      <c r="B204" s="2">
        <v>46112</v>
      </c>
      <c r="C204" s="1" t="s">
        <v>14</v>
      </c>
      <c r="D204" s="1" t="s">
        <v>43</v>
      </c>
      <c r="E204" s="1" t="s">
        <v>44</v>
      </c>
      <c r="F204" s="1" t="s">
        <v>45</v>
      </c>
      <c r="G204" s="1" t="s">
        <v>18</v>
      </c>
      <c r="H204" s="1" t="s">
        <v>32</v>
      </c>
      <c r="I204">
        <v>2</v>
      </c>
      <c r="J204">
        <v>140</v>
      </c>
      <c r="K204">
        <v>0.05</v>
      </c>
      <c r="L204">
        <v>266</v>
      </c>
      <c r="M204" s="1" t="s">
        <v>37</v>
      </c>
    </row>
    <row r="205" spans="1:13" x14ac:dyDescent="0.3">
      <c r="A205" s="1" t="s">
        <v>133</v>
      </c>
      <c r="B205" s="2">
        <v>46110</v>
      </c>
      <c r="C205" s="1" t="s">
        <v>14</v>
      </c>
      <c r="D205" s="1" t="s">
        <v>15</v>
      </c>
      <c r="E205" s="1" t="s">
        <v>16</v>
      </c>
      <c r="F205" s="1" t="s">
        <v>17</v>
      </c>
      <c r="G205" s="1" t="s">
        <v>18</v>
      </c>
      <c r="H205" s="1" t="s">
        <v>24</v>
      </c>
      <c r="I205">
        <v>3</v>
      </c>
      <c r="J205">
        <v>60</v>
      </c>
      <c r="K205">
        <v>0</v>
      </c>
      <c r="L205">
        <v>180</v>
      </c>
      <c r="M205" s="1" t="s">
        <v>25</v>
      </c>
    </row>
    <row r="206" spans="1:13" x14ac:dyDescent="0.3">
      <c r="A206" s="1" t="s">
        <v>133</v>
      </c>
      <c r="B206" s="2">
        <v>46094</v>
      </c>
      <c r="C206" s="1" t="s">
        <v>14</v>
      </c>
      <c r="D206" s="1" t="s">
        <v>21</v>
      </c>
      <c r="E206" s="1" t="s">
        <v>22</v>
      </c>
      <c r="F206" s="1" t="s">
        <v>23</v>
      </c>
      <c r="G206" s="1" t="s">
        <v>41</v>
      </c>
      <c r="H206" s="1" t="s">
        <v>75</v>
      </c>
      <c r="I206">
        <v>5</v>
      </c>
      <c r="J206">
        <v>220</v>
      </c>
      <c r="K206">
        <v>0</v>
      </c>
      <c r="L206">
        <v>1100</v>
      </c>
      <c r="M206" s="1" t="s">
        <v>20</v>
      </c>
    </row>
    <row r="207" spans="1:13" x14ac:dyDescent="0.3">
      <c r="A207" s="1" t="s">
        <v>133</v>
      </c>
      <c r="B207" s="2">
        <v>46082</v>
      </c>
      <c r="C207" s="1" t="s">
        <v>14</v>
      </c>
      <c r="D207" s="1" t="s">
        <v>65</v>
      </c>
      <c r="E207" s="1" t="s">
        <v>66</v>
      </c>
      <c r="F207" s="1" t="s">
        <v>40</v>
      </c>
      <c r="G207" s="1" t="s">
        <v>41</v>
      </c>
      <c r="H207" s="1" t="s">
        <v>53</v>
      </c>
      <c r="I207">
        <v>4</v>
      </c>
      <c r="J207">
        <v>210</v>
      </c>
      <c r="K207">
        <v>0.15</v>
      </c>
      <c r="L207">
        <v>714</v>
      </c>
      <c r="M207" s="1" t="s">
        <v>25</v>
      </c>
    </row>
    <row r="208" spans="1:13" x14ac:dyDescent="0.3">
      <c r="A208" s="1" t="s">
        <v>133</v>
      </c>
      <c r="B208" s="2">
        <v>46103</v>
      </c>
      <c r="C208" s="1" t="s">
        <v>14</v>
      </c>
      <c r="D208" s="1" t="s">
        <v>61</v>
      </c>
      <c r="E208" s="1" t="s">
        <v>62</v>
      </c>
      <c r="F208" s="1" t="s">
        <v>40</v>
      </c>
      <c r="G208" s="1" t="s">
        <v>18</v>
      </c>
      <c r="H208" s="1" t="s">
        <v>84</v>
      </c>
      <c r="I208">
        <v>2</v>
      </c>
      <c r="J208">
        <v>160</v>
      </c>
      <c r="K208">
        <v>0.1</v>
      </c>
      <c r="L208">
        <v>288</v>
      </c>
      <c r="M208" s="1" t="s">
        <v>33</v>
      </c>
    </row>
    <row r="209" spans="1:13" x14ac:dyDescent="0.3">
      <c r="A209" s="1" t="s">
        <v>133</v>
      </c>
      <c r="B209" s="2">
        <v>46083</v>
      </c>
      <c r="C209" s="1" t="s">
        <v>14</v>
      </c>
      <c r="D209" s="1" t="s">
        <v>47</v>
      </c>
      <c r="E209" s="1" t="s">
        <v>48</v>
      </c>
      <c r="F209" s="1" t="s">
        <v>45</v>
      </c>
      <c r="G209" s="1" t="s">
        <v>41</v>
      </c>
      <c r="H209" s="1" t="s">
        <v>29</v>
      </c>
      <c r="I209">
        <v>2</v>
      </c>
      <c r="J209">
        <v>85</v>
      </c>
      <c r="K209">
        <v>0.1</v>
      </c>
      <c r="L209">
        <v>153</v>
      </c>
      <c r="M209" s="1" t="s">
        <v>37</v>
      </c>
    </row>
    <row r="210" spans="1:13" x14ac:dyDescent="0.3">
      <c r="A210" s="1" t="s">
        <v>133</v>
      </c>
      <c r="B210" s="2">
        <v>46104</v>
      </c>
      <c r="C210" s="1" t="s">
        <v>14</v>
      </c>
      <c r="D210" s="1" t="s">
        <v>15</v>
      </c>
      <c r="E210" s="1" t="s">
        <v>16</v>
      </c>
      <c r="F210" s="1" t="s">
        <v>17</v>
      </c>
      <c r="G210" s="1" t="s">
        <v>41</v>
      </c>
      <c r="H210" s="1" t="s">
        <v>87</v>
      </c>
      <c r="I210">
        <v>5</v>
      </c>
      <c r="J210">
        <v>60</v>
      </c>
      <c r="K210">
        <v>0</v>
      </c>
      <c r="L210">
        <v>300</v>
      </c>
      <c r="M210" s="1" t="s">
        <v>25</v>
      </c>
    </row>
    <row r="211" spans="1:13" x14ac:dyDescent="0.3">
      <c r="A211" s="1" t="s">
        <v>133</v>
      </c>
      <c r="B211" s="2">
        <v>46087</v>
      </c>
      <c r="C211" s="1" t="s">
        <v>14</v>
      </c>
      <c r="D211" s="1" t="s">
        <v>15</v>
      </c>
      <c r="E211" s="1" t="s">
        <v>16</v>
      </c>
      <c r="F211" s="1" t="s">
        <v>17</v>
      </c>
      <c r="G211" s="1" t="s">
        <v>41</v>
      </c>
      <c r="H211" s="1" t="s">
        <v>76</v>
      </c>
      <c r="I211">
        <v>1</v>
      </c>
      <c r="J211">
        <v>60</v>
      </c>
      <c r="K211">
        <v>0</v>
      </c>
      <c r="L211">
        <v>60</v>
      </c>
      <c r="M211" s="1" t="s">
        <v>25</v>
      </c>
    </row>
    <row r="212" spans="1:13" x14ac:dyDescent="0.3">
      <c r="A212" s="1" t="s">
        <v>133</v>
      </c>
      <c r="B212" s="2">
        <v>46107</v>
      </c>
      <c r="C212" s="1" t="s">
        <v>14</v>
      </c>
      <c r="D212" s="1" t="s">
        <v>65</v>
      </c>
      <c r="E212" s="1" t="s">
        <v>66</v>
      </c>
      <c r="F212" s="1" t="s">
        <v>40</v>
      </c>
      <c r="G212" s="1" t="s">
        <v>41</v>
      </c>
      <c r="H212" s="1" t="s">
        <v>63</v>
      </c>
      <c r="I212">
        <v>5</v>
      </c>
      <c r="J212">
        <v>210</v>
      </c>
      <c r="K212">
        <v>0</v>
      </c>
      <c r="L212">
        <v>1050</v>
      </c>
      <c r="M212" s="1" t="s">
        <v>37</v>
      </c>
    </row>
    <row r="213" spans="1:13" x14ac:dyDescent="0.3">
      <c r="A213" s="1" t="s">
        <v>133</v>
      </c>
      <c r="B213" s="2">
        <v>46092</v>
      </c>
      <c r="C213" s="1" t="s">
        <v>14</v>
      </c>
      <c r="D213" s="1" t="s">
        <v>34</v>
      </c>
      <c r="E213" s="1" t="s">
        <v>35</v>
      </c>
      <c r="F213" s="1" t="s">
        <v>28</v>
      </c>
      <c r="G213" s="1" t="s">
        <v>41</v>
      </c>
      <c r="H213" s="1" t="s">
        <v>64</v>
      </c>
      <c r="I213">
        <v>5</v>
      </c>
      <c r="J213">
        <v>120</v>
      </c>
      <c r="K213">
        <v>0</v>
      </c>
      <c r="L213">
        <v>600</v>
      </c>
      <c r="M213" s="1" t="s">
        <v>33</v>
      </c>
    </row>
    <row r="214" spans="1:13" x14ac:dyDescent="0.3">
      <c r="A214" s="1" t="s">
        <v>133</v>
      </c>
      <c r="B214" s="2">
        <v>46106</v>
      </c>
      <c r="C214" s="1" t="s">
        <v>14</v>
      </c>
      <c r="D214" s="1" t="s">
        <v>34</v>
      </c>
      <c r="E214" s="1" t="s">
        <v>35</v>
      </c>
      <c r="F214" s="1" t="s">
        <v>28</v>
      </c>
      <c r="G214" s="1" t="s">
        <v>18</v>
      </c>
      <c r="H214" s="1" t="s">
        <v>46</v>
      </c>
      <c r="I214">
        <v>1</v>
      </c>
      <c r="J214">
        <v>120</v>
      </c>
      <c r="K214">
        <v>0</v>
      </c>
      <c r="L214">
        <v>120</v>
      </c>
      <c r="M214" s="1" t="s">
        <v>33</v>
      </c>
    </row>
    <row r="215" spans="1:13" x14ac:dyDescent="0.3">
      <c r="A215" s="1" t="s">
        <v>133</v>
      </c>
      <c r="B215" s="2">
        <v>46085</v>
      </c>
      <c r="C215" s="1" t="s">
        <v>14</v>
      </c>
      <c r="D215" s="1" t="s">
        <v>61</v>
      </c>
      <c r="E215" s="1" t="s">
        <v>62</v>
      </c>
      <c r="F215" s="1" t="s">
        <v>40</v>
      </c>
      <c r="G215" s="1" t="s">
        <v>18</v>
      </c>
      <c r="H215" s="1" t="s">
        <v>29</v>
      </c>
      <c r="I215">
        <v>5</v>
      </c>
      <c r="J215">
        <v>160</v>
      </c>
      <c r="K215">
        <v>0</v>
      </c>
      <c r="L215">
        <v>800</v>
      </c>
      <c r="M215" s="1" t="s">
        <v>37</v>
      </c>
    </row>
    <row r="216" spans="1:13" x14ac:dyDescent="0.3">
      <c r="A216" s="1" t="s">
        <v>133</v>
      </c>
      <c r="B216" s="2">
        <v>46084</v>
      </c>
      <c r="C216" s="1" t="s">
        <v>14</v>
      </c>
      <c r="D216" s="1" t="s">
        <v>54</v>
      </c>
      <c r="E216" s="1" t="s">
        <v>55</v>
      </c>
      <c r="F216" s="1" t="s">
        <v>23</v>
      </c>
      <c r="G216" s="1" t="s">
        <v>18</v>
      </c>
      <c r="H216" s="1" t="s">
        <v>63</v>
      </c>
      <c r="I216">
        <v>1</v>
      </c>
      <c r="J216">
        <v>75</v>
      </c>
      <c r="K216">
        <v>0</v>
      </c>
      <c r="L216">
        <v>75</v>
      </c>
      <c r="M216" s="1" t="s">
        <v>37</v>
      </c>
    </row>
    <row r="217" spans="1:13" x14ac:dyDescent="0.3">
      <c r="A217" s="1" t="s">
        <v>133</v>
      </c>
      <c r="B217" s="2">
        <v>46090</v>
      </c>
      <c r="C217" s="1" t="s">
        <v>14</v>
      </c>
      <c r="D217" s="1" t="s">
        <v>43</v>
      </c>
      <c r="E217" s="1" t="s">
        <v>44</v>
      </c>
      <c r="F217" s="1" t="s">
        <v>45</v>
      </c>
      <c r="G217" s="1" t="s">
        <v>18</v>
      </c>
      <c r="H217" s="1" t="s">
        <v>83</v>
      </c>
      <c r="I217">
        <v>2</v>
      </c>
      <c r="J217">
        <v>140</v>
      </c>
      <c r="K217">
        <v>0</v>
      </c>
      <c r="L217">
        <v>280</v>
      </c>
      <c r="M217" s="1" t="s">
        <v>25</v>
      </c>
    </row>
    <row r="218" spans="1:13" x14ac:dyDescent="0.3">
      <c r="A218" s="1" t="s">
        <v>133</v>
      </c>
      <c r="B218" s="2">
        <v>46084</v>
      </c>
      <c r="C218" s="1" t="s">
        <v>14</v>
      </c>
      <c r="D218" s="1" t="s">
        <v>38</v>
      </c>
      <c r="E218" s="1" t="s">
        <v>39</v>
      </c>
      <c r="F218" s="1" t="s">
        <v>40</v>
      </c>
      <c r="G218" s="1" t="s">
        <v>18</v>
      </c>
      <c r="H218" s="1" t="s">
        <v>29</v>
      </c>
      <c r="I218">
        <v>4</v>
      </c>
      <c r="J218">
        <v>55</v>
      </c>
      <c r="K218">
        <v>0.05</v>
      </c>
      <c r="L218">
        <v>209</v>
      </c>
      <c r="M218" s="1" t="s">
        <v>33</v>
      </c>
    </row>
    <row r="219" spans="1:13" x14ac:dyDescent="0.3">
      <c r="A219" s="1" t="s">
        <v>133</v>
      </c>
      <c r="B219" s="2">
        <v>46101</v>
      </c>
      <c r="C219" s="1" t="s">
        <v>14</v>
      </c>
      <c r="D219" s="1" t="s">
        <v>21</v>
      </c>
      <c r="E219" s="1" t="s">
        <v>22</v>
      </c>
      <c r="F219" s="1" t="s">
        <v>23</v>
      </c>
      <c r="G219" s="1" t="s">
        <v>18</v>
      </c>
      <c r="H219" s="1" t="s">
        <v>52</v>
      </c>
      <c r="I219">
        <v>5</v>
      </c>
      <c r="J219">
        <v>220</v>
      </c>
      <c r="K219">
        <v>0.15</v>
      </c>
      <c r="L219">
        <v>935</v>
      </c>
      <c r="M219" s="1" t="s">
        <v>33</v>
      </c>
    </row>
    <row r="220" spans="1:13" x14ac:dyDescent="0.3">
      <c r="A220" s="1" t="s">
        <v>133</v>
      </c>
      <c r="B220" s="2">
        <v>46088</v>
      </c>
      <c r="C220" s="1" t="s">
        <v>14</v>
      </c>
      <c r="D220" s="1" t="s">
        <v>61</v>
      </c>
      <c r="E220" s="1" t="s">
        <v>62</v>
      </c>
      <c r="F220" s="1" t="s">
        <v>40</v>
      </c>
      <c r="G220" s="1" t="s">
        <v>41</v>
      </c>
      <c r="H220" s="1" t="s">
        <v>79</v>
      </c>
      <c r="I220">
        <v>2</v>
      </c>
      <c r="J220">
        <v>160</v>
      </c>
      <c r="K220">
        <v>0</v>
      </c>
      <c r="L220">
        <v>320</v>
      </c>
      <c r="M220" s="1" t="s">
        <v>37</v>
      </c>
    </row>
    <row r="221" spans="1:13" x14ac:dyDescent="0.3">
      <c r="A221" s="1" t="s">
        <v>133</v>
      </c>
      <c r="B221" s="2">
        <v>46083</v>
      </c>
      <c r="C221" s="1" t="s">
        <v>14</v>
      </c>
      <c r="D221" s="1" t="s">
        <v>65</v>
      </c>
      <c r="E221" s="1" t="s">
        <v>66</v>
      </c>
      <c r="F221" s="1" t="s">
        <v>40</v>
      </c>
      <c r="G221" s="1" t="s">
        <v>41</v>
      </c>
      <c r="H221" s="1" t="s">
        <v>32</v>
      </c>
      <c r="I221">
        <v>2</v>
      </c>
      <c r="J221">
        <v>210</v>
      </c>
      <c r="K221">
        <v>0.05</v>
      </c>
      <c r="L221">
        <v>399</v>
      </c>
      <c r="M221" s="1" t="s">
        <v>33</v>
      </c>
    </row>
    <row r="222" spans="1:13" x14ac:dyDescent="0.3">
      <c r="A222" s="1" t="s">
        <v>133</v>
      </c>
      <c r="B222" s="2">
        <v>46110</v>
      </c>
      <c r="C222" s="1" t="s">
        <v>14</v>
      </c>
      <c r="D222" s="1" t="s">
        <v>61</v>
      </c>
      <c r="E222" s="1" t="s">
        <v>62</v>
      </c>
      <c r="F222" s="1" t="s">
        <v>40</v>
      </c>
      <c r="G222" s="1" t="s">
        <v>18</v>
      </c>
      <c r="H222" s="1" t="s">
        <v>59</v>
      </c>
      <c r="I222">
        <v>3</v>
      </c>
      <c r="J222">
        <v>160</v>
      </c>
      <c r="K222">
        <v>0.05</v>
      </c>
      <c r="L222">
        <v>456</v>
      </c>
      <c r="M222" s="1" t="s">
        <v>25</v>
      </c>
    </row>
    <row r="223" spans="1:13" x14ac:dyDescent="0.3">
      <c r="A223" s="1" t="s">
        <v>133</v>
      </c>
      <c r="B223" s="2">
        <v>46082</v>
      </c>
      <c r="C223" s="1" t="s">
        <v>14</v>
      </c>
      <c r="D223" s="1" t="s">
        <v>15</v>
      </c>
      <c r="E223" s="1" t="s">
        <v>16</v>
      </c>
      <c r="F223" s="1" t="s">
        <v>17</v>
      </c>
      <c r="G223" s="1" t="s">
        <v>18</v>
      </c>
      <c r="H223" s="1" t="s">
        <v>19</v>
      </c>
      <c r="I223">
        <v>2</v>
      </c>
      <c r="J223">
        <v>60</v>
      </c>
      <c r="K223">
        <v>0</v>
      </c>
      <c r="L223">
        <v>120</v>
      </c>
      <c r="M223" s="1" t="s">
        <v>33</v>
      </c>
    </row>
    <row r="224" spans="1:13" x14ac:dyDescent="0.3">
      <c r="A224" s="1" t="s">
        <v>133</v>
      </c>
      <c r="B224" s="2">
        <v>46095</v>
      </c>
      <c r="C224" s="1" t="s">
        <v>14</v>
      </c>
      <c r="D224" s="1" t="s">
        <v>47</v>
      </c>
      <c r="E224" s="1" t="s">
        <v>48</v>
      </c>
      <c r="F224" s="1" t="s">
        <v>45</v>
      </c>
      <c r="G224" s="1" t="s">
        <v>41</v>
      </c>
      <c r="H224" s="1" t="s">
        <v>81</v>
      </c>
      <c r="I224">
        <v>5</v>
      </c>
      <c r="J224">
        <v>85</v>
      </c>
      <c r="K224">
        <v>0.05</v>
      </c>
      <c r="L224">
        <v>403.75</v>
      </c>
      <c r="M224" s="1" t="s">
        <v>20</v>
      </c>
    </row>
    <row r="225" spans="1:13" x14ac:dyDescent="0.3">
      <c r="A225" s="1" t="s">
        <v>133</v>
      </c>
      <c r="B225" s="2">
        <v>46085</v>
      </c>
      <c r="C225" s="1" t="s">
        <v>14</v>
      </c>
      <c r="D225" s="1" t="s">
        <v>21</v>
      </c>
      <c r="E225" s="1" t="s">
        <v>22</v>
      </c>
      <c r="F225" s="1" t="s">
        <v>23</v>
      </c>
      <c r="G225" s="1" t="s">
        <v>41</v>
      </c>
      <c r="H225" s="1" t="s">
        <v>84</v>
      </c>
      <c r="I225">
        <v>1</v>
      </c>
      <c r="J225">
        <v>220</v>
      </c>
      <c r="K225">
        <v>0</v>
      </c>
      <c r="L225">
        <v>220</v>
      </c>
      <c r="M225" s="1" t="s">
        <v>33</v>
      </c>
    </row>
    <row r="226" spans="1:13" x14ac:dyDescent="0.3">
      <c r="A226" s="1" t="s">
        <v>133</v>
      </c>
      <c r="B226" s="2">
        <v>46100</v>
      </c>
      <c r="C226" s="1" t="s">
        <v>14</v>
      </c>
      <c r="D226" s="1" t="s">
        <v>69</v>
      </c>
      <c r="E226" s="1" t="s">
        <v>70</v>
      </c>
      <c r="F226" s="1" t="s">
        <v>28</v>
      </c>
      <c r="G226" s="1" t="s">
        <v>18</v>
      </c>
      <c r="H226" s="1" t="s">
        <v>78</v>
      </c>
      <c r="I226">
        <v>2</v>
      </c>
      <c r="J226">
        <v>95</v>
      </c>
      <c r="K226">
        <v>0</v>
      </c>
      <c r="L226">
        <v>190</v>
      </c>
      <c r="M226" s="1" t="s">
        <v>33</v>
      </c>
    </row>
    <row r="227" spans="1:13" x14ac:dyDescent="0.3">
      <c r="A227" s="1" t="s">
        <v>133</v>
      </c>
      <c r="B227" s="2">
        <v>46094</v>
      </c>
      <c r="C227" s="1" t="s">
        <v>14</v>
      </c>
      <c r="D227" s="1" t="s">
        <v>21</v>
      </c>
      <c r="E227" s="1" t="s">
        <v>22</v>
      </c>
      <c r="F227" s="1" t="s">
        <v>23</v>
      </c>
      <c r="G227" s="1" t="s">
        <v>18</v>
      </c>
      <c r="H227" s="1" t="s">
        <v>59</v>
      </c>
      <c r="I227">
        <v>5</v>
      </c>
      <c r="J227">
        <v>220</v>
      </c>
      <c r="K227">
        <v>0</v>
      </c>
      <c r="L227">
        <v>1100</v>
      </c>
      <c r="M227" s="1" t="s">
        <v>33</v>
      </c>
    </row>
    <row r="228" spans="1:13" x14ac:dyDescent="0.3">
      <c r="A228" s="1" t="s">
        <v>133</v>
      </c>
      <c r="B228" s="2">
        <v>46086</v>
      </c>
      <c r="C228" s="1" t="s">
        <v>14</v>
      </c>
      <c r="D228" s="1" t="s">
        <v>38</v>
      </c>
      <c r="E228" s="1" t="s">
        <v>39</v>
      </c>
      <c r="F228" s="1" t="s">
        <v>40</v>
      </c>
      <c r="G228" s="1" t="s">
        <v>41</v>
      </c>
      <c r="H228" s="1" t="s">
        <v>82</v>
      </c>
      <c r="I228">
        <v>3</v>
      </c>
      <c r="J228">
        <v>55</v>
      </c>
      <c r="K228">
        <v>0</v>
      </c>
      <c r="L228">
        <v>165</v>
      </c>
      <c r="M228" s="1" t="s">
        <v>20</v>
      </c>
    </row>
    <row r="229" spans="1:13" x14ac:dyDescent="0.3">
      <c r="A229" s="1" t="s">
        <v>133</v>
      </c>
      <c r="B229" s="2">
        <v>46087</v>
      </c>
      <c r="C229" s="1" t="s">
        <v>14</v>
      </c>
      <c r="D229" s="1" t="s">
        <v>54</v>
      </c>
      <c r="E229" s="1" t="s">
        <v>55</v>
      </c>
      <c r="F229" s="1" t="s">
        <v>23</v>
      </c>
      <c r="G229" s="1" t="s">
        <v>18</v>
      </c>
      <c r="H229" s="1" t="s">
        <v>32</v>
      </c>
      <c r="I229">
        <v>4</v>
      </c>
      <c r="J229">
        <v>75</v>
      </c>
      <c r="K229">
        <v>0</v>
      </c>
      <c r="L229">
        <v>300</v>
      </c>
      <c r="M229" s="1" t="s">
        <v>33</v>
      </c>
    </row>
    <row r="230" spans="1:13" x14ac:dyDescent="0.3">
      <c r="A230" s="1" t="s">
        <v>133</v>
      </c>
      <c r="B230" s="2">
        <v>46100</v>
      </c>
      <c r="C230" s="1" t="s">
        <v>14</v>
      </c>
      <c r="D230" s="1" t="s">
        <v>49</v>
      </c>
      <c r="E230" s="1" t="s">
        <v>50</v>
      </c>
      <c r="F230" s="1" t="s">
        <v>45</v>
      </c>
      <c r="G230" s="1" t="s">
        <v>41</v>
      </c>
      <c r="H230" s="1" t="s">
        <v>84</v>
      </c>
      <c r="I230">
        <v>5</v>
      </c>
      <c r="J230">
        <v>35</v>
      </c>
      <c r="K230">
        <v>0.1</v>
      </c>
      <c r="L230">
        <v>157.5</v>
      </c>
      <c r="M230" s="1" t="s">
        <v>37</v>
      </c>
    </row>
    <row r="231" spans="1:13" x14ac:dyDescent="0.3">
      <c r="A231" s="1" t="s">
        <v>133</v>
      </c>
      <c r="B231" s="2">
        <v>46108</v>
      </c>
      <c r="C231" s="1" t="s">
        <v>14</v>
      </c>
      <c r="D231" s="1" t="s">
        <v>72</v>
      </c>
      <c r="E231" s="1" t="s">
        <v>73</v>
      </c>
      <c r="F231" s="1" t="s">
        <v>17</v>
      </c>
      <c r="G231" s="1" t="s">
        <v>18</v>
      </c>
      <c r="H231" s="1" t="s">
        <v>59</v>
      </c>
      <c r="I231">
        <v>2</v>
      </c>
      <c r="J231">
        <v>170</v>
      </c>
      <c r="K231">
        <v>0.05</v>
      </c>
      <c r="L231">
        <v>323</v>
      </c>
      <c r="M231" s="1" t="s">
        <v>37</v>
      </c>
    </row>
    <row r="232" spans="1:13" x14ac:dyDescent="0.3">
      <c r="A232" s="1" t="s">
        <v>133</v>
      </c>
      <c r="B232" s="2">
        <v>46095</v>
      </c>
      <c r="C232" s="1" t="s">
        <v>14</v>
      </c>
      <c r="D232" s="1" t="s">
        <v>47</v>
      </c>
      <c r="E232" s="1" t="s">
        <v>48</v>
      </c>
      <c r="F232" s="1" t="s">
        <v>45</v>
      </c>
      <c r="G232" s="1" t="s">
        <v>41</v>
      </c>
      <c r="H232" s="1" t="s">
        <v>64</v>
      </c>
      <c r="I232">
        <v>2</v>
      </c>
      <c r="J232">
        <v>85</v>
      </c>
      <c r="K232">
        <v>0</v>
      </c>
      <c r="L232">
        <v>170</v>
      </c>
      <c r="M232" s="1" t="s">
        <v>33</v>
      </c>
    </row>
    <row r="233" spans="1:13" x14ac:dyDescent="0.3">
      <c r="A233" s="1" t="s">
        <v>133</v>
      </c>
      <c r="B233" s="2">
        <v>46083</v>
      </c>
      <c r="C233" s="1" t="s">
        <v>14</v>
      </c>
      <c r="D233" s="1" t="s">
        <v>15</v>
      </c>
      <c r="E233" s="1" t="s">
        <v>16</v>
      </c>
      <c r="F233" s="1" t="s">
        <v>17</v>
      </c>
      <c r="G233" s="1" t="s">
        <v>41</v>
      </c>
      <c r="H233" s="1" t="s">
        <v>59</v>
      </c>
      <c r="I233">
        <v>1</v>
      </c>
      <c r="J233">
        <v>60</v>
      </c>
      <c r="K233">
        <v>0</v>
      </c>
      <c r="L233">
        <v>60</v>
      </c>
      <c r="M233" s="1" t="s">
        <v>25</v>
      </c>
    </row>
    <row r="234" spans="1:13" x14ac:dyDescent="0.3">
      <c r="A234" s="1" t="s">
        <v>133</v>
      </c>
      <c r="B234" s="2">
        <v>46107</v>
      </c>
      <c r="C234" s="1" t="s">
        <v>14</v>
      </c>
      <c r="D234" s="1" t="s">
        <v>61</v>
      </c>
      <c r="E234" s="1" t="s">
        <v>62</v>
      </c>
      <c r="F234" s="1" t="s">
        <v>40</v>
      </c>
      <c r="G234" s="1" t="s">
        <v>41</v>
      </c>
      <c r="H234" s="1" t="s">
        <v>77</v>
      </c>
      <c r="I234">
        <v>4</v>
      </c>
      <c r="J234">
        <v>160</v>
      </c>
      <c r="K234">
        <v>0</v>
      </c>
      <c r="L234">
        <v>640</v>
      </c>
      <c r="M234" s="1" t="s">
        <v>25</v>
      </c>
    </row>
    <row r="235" spans="1:13" x14ac:dyDescent="0.3">
      <c r="A235" s="1" t="s">
        <v>133</v>
      </c>
      <c r="B235" s="2">
        <v>46095</v>
      </c>
      <c r="C235" s="1" t="s">
        <v>14</v>
      </c>
      <c r="D235" s="1" t="s">
        <v>38</v>
      </c>
      <c r="E235" s="1" t="s">
        <v>39</v>
      </c>
      <c r="F235" s="1" t="s">
        <v>40</v>
      </c>
      <c r="G235" s="1" t="s">
        <v>41</v>
      </c>
      <c r="H235" s="1" t="s">
        <v>32</v>
      </c>
      <c r="I235">
        <v>1</v>
      </c>
      <c r="J235">
        <v>55</v>
      </c>
      <c r="K235">
        <v>0.05</v>
      </c>
      <c r="L235">
        <v>52.25</v>
      </c>
      <c r="M235" s="1" t="s">
        <v>33</v>
      </c>
    </row>
    <row r="236" spans="1:13" x14ac:dyDescent="0.3">
      <c r="A236" s="1" t="s">
        <v>133</v>
      </c>
      <c r="B236" s="2">
        <v>46103</v>
      </c>
      <c r="C236" s="1" t="s">
        <v>14</v>
      </c>
      <c r="D236" s="1" t="s">
        <v>43</v>
      </c>
      <c r="E236" s="1" t="s">
        <v>44</v>
      </c>
      <c r="F236" s="1" t="s">
        <v>45</v>
      </c>
      <c r="G236" s="1" t="s">
        <v>18</v>
      </c>
      <c r="H236" s="1" t="s">
        <v>60</v>
      </c>
      <c r="I236">
        <v>1</v>
      </c>
      <c r="J236">
        <v>140</v>
      </c>
      <c r="K236">
        <v>0</v>
      </c>
      <c r="L236">
        <v>140</v>
      </c>
      <c r="M236" s="1" t="s">
        <v>25</v>
      </c>
    </row>
    <row r="237" spans="1:13" x14ac:dyDescent="0.3">
      <c r="A237" s="1" t="s">
        <v>133</v>
      </c>
      <c r="B237" s="2">
        <v>46109</v>
      </c>
      <c r="C237" s="1" t="s">
        <v>14</v>
      </c>
      <c r="D237" s="1" t="s">
        <v>57</v>
      </c>
      <c r="E237" s="1" t="s">
        <v>58</v>
      </c>
      <c r="F237" s="1" t="s">
        <v>17</v>
      </c>
      <c r="G237" s="1" t="s">
        <v>18</v>
      </c>
      <c r="H237" s="1" t="s">
        <v>84</v>
      </c>
      <c r="I237">
        <v>4</v>
      </c>
      <c r="J237">
        <v>45</v>
      </c>
      <c r="K237">
        <v>0.05</v>
      </c>
      <c r="L237">
        <v>171</v>
      </c>
      <c r="M237" s="1" t="s">
        <v>20</v>
      </c>
    </row>
    <row r="238" spans="1:13" x14ac:dyDescent="0.3">
      <c r="A238" s="1" t="s">
        <v>133</v>
      </c>
      <c r="B238" s="2">
        <v>46084</v>
      </c>
      <c r="C238" s="1" t="s">
        <v>14</v>
      </c>
      <c r="D238" s="1" t="s">
        <v>38</v>
      </c>
      <c r="E238" s="1" t="s">
        <v>39</v>
      </c>
      <c r="F238" s="1" t="s">
        <v>40</v>
      </c>
      <c r="G238" s="1" t="s">
        <v>18</v>
      </c>
      <c r="H238" s="1" t="s">
        <v>53</v>
      </c>
      <c r="I238">
        <v>1</v>
      </c>
      <c r="J238">
        <v>55</v>
      </c>
      <c r="K238">
        <v>0.1</v>
      </c>
      <c r="L238">
        <v>49.5</v>
      </c>
      <c r="M238" s="1" t="s">
        <v>25</v>
      </c>
    </row>
    <row r="239" spans="1:13" x14ac:dyDescent="0.3">
      <c r="A239" s="1" t="s">
        <v>133</v>
      </c>
      <c r="B239" s="2">
        <v>46101</v>
      </c>
      <c r="C239" s="1" t="s">
        <v>14</v>
      </c>
      <c r="D239" s="1" t="s">
        <v>34</v>
      </c>
      <c r="E239" s="1" t="s">
        <v>35</v>
      </c>
      <c r="F239" s="1" t="s">
        <v>28</v>
      </c>
      <c r="G239" s="1" t="s">
        <v>41</v>
      </c>
      <c r="H239" s="1" t="s">
        <v>19</v>
      </c>
      <c r="I239">
        <v>3</v>
      </c>
      <c r="J239">
        <v>120</v>
      </c>
      <c r="K239">
        <v>0.05</v>
      </c>
      <c r="L239">
        <v>342</v>
      </c>
      <c r="M239" s="1" t="s">
        <v>20</v>
      </c>
    </row>
    <row r="240" spans="1:13" x14ac:dyDescent="0.3">
      <c r="A240" s="1" t="s">
        <v>133</v>
      </c>
      <c r="B240" s="2">
        <v>46111</v>
      </c>
      <c r="C240" s="1" t="s">
        <v>14</v>
      </c>
      <c r="D240" s="1" t="s">
        <v>47</v>
      </c>
      <c r="E240" s="1" t="s">
        <v>48</v>
      </c>
      <c r="F240" s="1" t="s">
        <v>45</v>
      </c>
      <c r="G240" s="1" t="s">
        <v>18</v>
      </c>
      <c r="H240" s="1" t="s">
        <v>76</v>
      </c>
      <c r="I240">
        <v>1</v>
      </c>
      <c r="J240">
        <v>85</v>
      </c>
      <c r="K240">
        <v>0</v>
      </c>
      <c r="L240">
        <v>85</v>
      </c>
      <c r="M240" s="1" t="s">
        <v>37</v>
      </c>
    </row>
    <row r="241" spans="1:13" x14ac:dyDescent="0.3">
      <c r="A241" s="1" t="s">
        <v>133</v>
      </c>
      <c r="B241" s="2">
        <v>46093</v>
      </c>
      <c r="C241" s="1" t="s">
        <v>14</v>
      </c>
      <c r="D241" s="1" t="s">
        <v>69</v>
      </c>
      <c r="E241" s="1" t="s">
        <v>70</v>
      </c>
      <c r="F241" s="1" t="s">
        <v>28</v>
      </c>
      <c r="G241" s="1" t="s">
        <v>41</v>
      </c>
      <c r="H241" s="1" t="s">
        <v>67</v>
      </c>
      <c r="I241">
        <v>5</v>
      </c>
      <c r="J241">
        <v>95</v>
      </c>
      <c r="K241">
        <v>0</v>
      </c>
      <c r="L241">
        <v>475</v>
      </c>
      <c r="M241" s="1" t="s">
        <v>25</v>
      </c>
    </row>
    <row r="242" spans="1:13" x14ac:dyDescent="0.3">
      <c r="A242" s="1" t="s">
        <v>133</v>
      </c>
      <c r="B242" s="2">
        <v>46092</v>
      </c>
      <c r="C242" s="1" t="s">
        <v>14</v>
      </c>
      <c r="D242" s="1" t="s">
        <v>38</v>
      </c>
      <c r="E242" s="1" t="s">
        <v>39</v>
      </c>
      <c r="F242" s="1" t="s">
        <v>40</v>
      </c>
      <c r="G242" s="1" t="s">
        <v>41</v>
      </c>
      <c r="H242" s="1" t="s">
        <v>75</v>
      </c>
      <c r="I242">
        <v>2</v>
      </c>
      <c r="J242">
        <v>55</v>
      </c>
      <c r="K242">
        <v>0</v>
      </c>
      <c r="L242">
        <v>110</v>
      </c>
      <c r="M242" s="1" t="s">
        <v>37</v>
      </c>
    </row>
    <row r="243" spans="1:13" x14ac:dyDescent="0.3">
      <c r="A243" s="1" t="s">
        <v>133</v>
      </c>
      <c r="B243" s="2">
        <v>46104</v>
      </c>
      <c r="C243" s="1" t="s">
        <v>14</v>
      </c>
      <c r="D243" s="1" t="s">
        <v>47</v>
      </c>
      <c r="E243" s="1" t="s">
        <v>48</v>
      </c>
      <c r="F243" s="1" t="s">
        <v>45</v>
      </c>
      <c r="G243" s="1" t="s">
        <v>41</v>
      </c>
      <c r="H243" s="1" t="s">
        <v>80</v>
      </c>
      <c r="I243">
        <v>5</v>
      </c>
      <c r="J243">
        <v>85</v>
      </c>
      <c r="K243">
        <v>0.1</v>
      </c>
      <c r="L243">
        <v>382.5</v>
      </c>
      <c r="M243" s="1" t="s">
        <v>33</v>
      </c>
    </row>
    <row r="244" spans="1:13" x14ac:dyDescent="0.3">
      <c r="A244" s="1" t="s">
        <v>133</v>
      </c>
      <c r="B244" s="2">
        <v>46095</v>
      </c>
      <c r="C244" s="1" t="s">
        <v>14</v>
      </c>
      <c r="D244" s="1" t="s">
        <v>34</v>
      </c>
      <c r="E244" s="1" t="s">
        <v>35</v>
      </c>
      <c r="F244" s="1" t="s">
        <v>28</v>
      </c>
      <c r="G244" s="1" t="s">
        <v>18</v>
      </c>
      <c r="H244" s="1" t="s">
        <v>46</v>
      </c>
      <c r="I244">
        <v>3</v>
      </c>
      <c r="J244">
        <v>120</v>
      </c>
      <c r="K244">
        <v>0</v>
      </c>
      <c r="L244">
        <v>360</v>
      </c>
      <c r="M244" s="1" t="s">
        <v>20</v>
      </c>
    </row>
    <row r="245" spans="1:13" x14ac:dyDescent="0.3">
      <c r="A245" s="1" t="s">
        <v>133</v>
      </c>
      <c r="B245" s="2">
        <v>46085</v>
      </c>
      <c r="C245" s="1" t="s">
        <v>14</v>
      </c>
      <c r="D245" s="1" t="s">
        <v>61</v>
      </c>
      <c r="E245" s="1" t="s">
        <v>62</v>
      </c>
      <c r="F245" s="1" t="s">
        <v>40</v>
      </c>
      <c r="G245" s="1" t="s">
        <v>18</v>
      </c>
      <c r="H245" s="1" t="s">
        <v>79</v>
      </c>
      <c r="I245">
        <v>5</v>
      </c>
      <c r="J245">
        <v>160</v>
      </c>
      <c r="K245">
        <v>0</v>
      </c>
      <c r="L245">
        <v>800</v>
      </c>
      <c r="M245" s="1" t="s">
        <v>20</v>
      </c>
    </row>
    <row r="246" spans="1:13" x14ac:dyDescent="0.3">
      <c r="A246" s="1" t="s">
        <v>133</v>
      </c>
      <c r="B246" s="2">
        <v>46112</v>
      </c>
      <c r="C246" s="1" t="s">
        <v>14</v>
      </c>
      <c r="D246" s="1" t="s">
        <v>61</v>
      </c>
      <c r="E246" s="1" t="s">
        <v>62</v>
      </c>
      <c r="F246" s="1" t="s">
        <v>40</v>
      </c>
      <c r="G246" s="1" t="s">
        <v>41</v>
      </c>
      <c r="H246" s="1" t="s">
        <v>81</v>
      </c>
      <c r="I246">
        <v>3</v>
      </c>
      <c r="J246">
        <v>160</v>
      </c>
      <c r="K246">
        <v>0.05</v>
      </c>
      <c r="L246">
        <v>456</v>
      </c>
      <c r="M246" s="1" t="s">
        <v>37</v>
      </c>
    </row>
    <row r="247" spans="1:13" x14ac:dyDescent="0.3">
      <c r="A247" s="1" t="s">
        <v>133</v>
      </c>
      <c r="B247" s="2">
        <v>46091</v>
      </c>
      <c r="C247" s="1" t="s">
        <v>14</v>
      </c>
      <c r="D247" s="1" t="s">
        <v>54</v>
      </c>
      <c r="E247" s="1" t="s">
        <v>55</v>
      </c>
      <c r="F247" s="1" t="s">
        <v>23</v>
      </c>
      <c r="G247" s="1" t="s">
        <v>41</v>
      </c>
      <c r="H247" s="1" t="s">
        <v>85</v>
      </c>
      <c r="I247">
        <v>4</v>
      </c>
      <c r="J247">
        <v>75</v>
      </c>
      <c r="K247">
        <v>0.1</v>
      </c>
      <c r="L247">
        <v>270</v>
      </c>
      <c r="M247" s="1" t="s">
        <v>25</v>
      </c>
    </row>
    <row r="248" spans="1:13" x14ac:dyDescent="0.3">
      <c r="A248" s="1" t="s">
        <v>133</v>
      </c>
      <c r="B248" s="2">
        <v>46088</v>
      </c>
      <c r="C248" s="1" t="s">
        <v>14</v>
      </c>
      <c r="D248" s="1" t="s">
        <v>47</v>
      </c>
      <c r="E248" s="1" t="s">
        <v>48</v>
      </c>
      <c r="F248" s="1" t="s">
        <v>45</v>
      </c>
      <c r="G248" s="1" t="s">
        <v>41</v>
      </c>
      <c r="H248" s="1" t="s">
        <v>79</v>
      </c>
      <c r="I248">
        <v>4</v>
      </c>
      <c r="J248">
        <v>85</v>
      </c>
      <c r="K248">
        <v>0</v>
      </c>
      <c r="L248">
        <v>340</v>
      </c>
      <c r="M248" s="1" t="s">
        <v>33</v>
      </c>
    </row>
    <row r="249" spans="1:13" x14ac:dyDescent="0.3">
      <c r="A249" s="1" t="s">
        <v>133</v>
      </c>
      <c r="B249" s="2">
        <v>46102</v>
      </c>
      <c r="C249" s="1" t="s">
        <v>14</v>
      </c>
      <c r="D249" s="1" t="s">
        <v>61</v>
      </c>
      <c r="E249" s="1" t="s">
        <v>62</v>
      </c>
      <c r="F249" s="1" t="s">
        <v>40</v>
      </c>
      <c r="G249" s="1" t="s">
        <v>41</v>
      </c>
      <c r="H249" s="1" t="s">
        <v>19</v>
      </c>
      <c r="I249">
        <v>4</v>
      </c>
      <c r="J249">
        <v>160</v>
      </c>
      <c r="K249">
        <v>0</v>
      </c>
      <c r="L249">
        <v>640</v>
      </c>
      <c r="M249" s="1" t="s">
        <v>25</v>
      </c>
    </row>
    <row r="250" spans="1:13" x14ac:dyDescent="0.3">
      <c r="A250" s="1" t="s">
        <v>133</v>
      </c>
      <c r="B250" s="2">
        <v>46098</v>
      </c>
      <c r="C250" s="1" t="s">
        <v>14</v>
      </c>
      <c r="D250" s="1" t="s">
        <v>72</v>
      </c>
      <c r="E250" s="1" t="s">
        <v>73</v>
      </c>
      <c r="F250" s="1" t="s">
        <v>17</v>
      </c>
      <c r="G250" s="1" t="s">
        <v>18</v>
      </c>
      <c r="H250" s="1" t="s">
        <v>53</v>
      </c>
      <c r="I250">
        <v>2</v>
      </c>
      <c r="J250">
        <v>170</v>
      </c>
      <c r="K250">
        <v>0.1</v>
      </c>
      <c r="L250">
        <v>306</v>
      </c>
      <c r="M250" s="1" t="s">
        <v>20</v>
      </c>
    </row>
    <row r="251" spans="1:13" x14ac:dyDescent="0.3">
      <c r="A251" s="1" t="s">
        <v>133</v>
      </c>
      <c r="B251" s="2">
        <v>46096</v>
      </c>
      <c r="C251" s="1" t="s">
        <v>14</v>
      </c>
      <c r="D251" s="1" t="s">
        <v>65</v>
      </c>
      <c r="E251" s="1" t="s">
        <v>66</v>
      </c>
      <c r="F251" s="1" t="s">
        <v>40</v>
      </c>
      <c r="G251" s="1" t="s">
        <v>18</v>
      </c>
      <c r="H251" s="1" t="s">
        <v>24</v>
      </c>
      <c r="I251">
        <v>5</v>
      </c>
      <c r="J251">
        <v>210</v>
      </c>
      <c r="K251">
        <v>0.1</v>
      </c>
      <c r="L251">
        <v>945</v>
      </c>
      <c r="M251" s="1" t="s">
        <v>20</v>
      </c>
    </row>
    <row r="252" spans="1:13" x14ac:dyDescent="0.3">
      <c r="A252" s="1" t="s">
        <v>133</v>
      </c>
      <c r="B252" s="2">
        <v>46093</v>
      </c>
      <c r="C252" s="1" t="s">
        <v>14</v>
      </c>
      <c r="D252" s="1" t="s">
        <v>21</v>
      </c>
      <c r="E252" s="1" t="s">
        <v>22</v>
      </c>
      <c r="F252" s="1" t="s">
        <v>23</v>
      </c>
      <c r="G252" s="1" t="s">
        <v>18</v>
      </c>
      <c r="H252" s="1" t="s">
        <v>82</v>
      </c>
      <c r="I252">
        <v>3</v>
      </c>
      <c r="J252">
        <v>220</v>
      </c>
      <c r="K252">
        <v>0</v>
      </c>
      <c r="L252">
        <v>660</v>
      </c>
      <c r="M252" s="1" t="s">
        <v>33</v>
      </c>
    </row>
    <row r="253" spans="1:13" x14ac:dyDescent="0.3">
      <c r="A253" s="1" t="s">
        <v>133</v>
      </c>
      <c r="B253" s="2">
        <v>46101</v>
      </c>
      <c r="C253" s="1" t="s">
        <v>14</v>
      </c>
      <c r="D253" s="1" t="s">
        <v>69</v>
      </c>
      <c r="E253" s="1" t="s">
        <v>70</v>
      </c>
      <c r="F253" s="1" t="s">
        <v>28</v>
      </c>
      <c r="G253" s="1" t="s">
        <v>41</v>
      </c>
      <c r="H253" s="1" t="s">
        <v>32</v>
      </c>
      <c r="I253">
        <v>4</v>
      </c>
      <c r="J253">
        <v>95</v>
      </c>
      <c r="K253">
        <v>0.15</v>
      </c>
      <c r="L253">
        <v>323</v>
      </c>
      <c r="M253" s="1" t="s">
        <v>33</v>
      </c>
    </row>
    <row r="254" spans="1:13" x14ac:dyDescent="0.3">
      <c r="A254" s="1" t="s">
        <v>133</v>
      </c>
      <c r="B254" s="2">
        <v>46085</v>
      </c>
      <c r="C254" s="1" t="s">
        <v>14</v>
      </c>
      <c r="D254" s="1" t="s">
        <v>57</v>
      </c>
      <c r="E254" s="1" t="s">
        <v>58</v>
      </c>
      <c r="F254" s="1" t="s">
        <v>17</v>
      </c>
      <c r="G254" s="1" t="s">
        <v>41</v>
      </c>
      <c r="H254" s="1" t="s">
        <v>64</v>
      </c>
      <c r="I254">
        <v>2</v>
      </c>
      <c r="J254">
        <v>45</v>
      </c>
      <c r="K254">
        <v>0</v>
      </c>
      <c r="L254">
        <v>90</v>
      </c>
      <c r="M254" s="1" t="s">
        <v>33</v>
      </c>
    </row>
    <row r="255" spans="1:13" x14ac:dyDescent="0.3">
      <c r="A255" s="1" t="s">
        <v>133</v>
      </c>
      <c r="B255" s="2">
        <v>46099</v>
      </c>
      <c r="C255" s="1" t="s">
        <v>14</v>
      </c>
      <c r="D255" s="1" t="s">
        <v>61</v>
      </c>
      <c r="E255" s="1" t="s">
        <v>62</v>
      </c>
      <c r="F255" s="1" t="s">
        <v>40</v>
      </c>
      <c r="G255" s="1" t="s">
        <v>41</v>
      </c>
      <c r="H255" s="1" t="s">
        <v>46</v>
      </c>
      <c r="I255">
        <v>3</v>
      </c>
      <c r="J255">
        <v>160</v>
      </c>
      <c r="K255">
        <v>0</v>
      </c>
      <c r="L255">
        <v>480</v>
      </c>
      <c r="M255" s="1" t="s">
        <v>33</v>
      </c>
    </row>
    <row r="256" spans="1:13" x14ac:dyDescent="0.3">
      <c r="A256" s="1" t="s">
        <v>133</v>
      </c>
      <c r="B256" s="2">
        <v>46099</v>
      </c>
      <c r="C256" s="1" t="s">
        <v>14</v>
      </c>
      <c r="D256" s="1" t="s">
        <v>69</v>
      </c>
      <c r="E256" s="1" t="s">
        <v>70</v>
      </c>
      <c r="F256" s="1" t="s">
        <v>28</v>
      </c>
      <c r="G256" s="1" t="s">
        <v>18</v>
      </c>
      <c r="H256" s="1" t="s">
        <v>29</v>
      </c>
      <c r="I256">
        <v>5</v>
      </c>
      <c r="J256">
        <v>95</v>
      </c>
      <c r="K256">
        <v>0.15</v>
      </c>
      <c r="L256">
        <v>403.75</v>
      </c>
      <c r="M256" s="1" t="s">
        <v>37</v>
      </c>
    </row>
    <row r="257" spans="1:13" x14ac:dyDescent="0.3">
      <c r="A257" s="1" t="s">
        <v>133</v>
      </c>
      <c r="B257" s="2">
        <v>46111</v>
      </c>
      <c r="C257" s="1" t="s">
        <v>14</v>
      </c>
      <c r="D257" s="1" t="s">
        <v>15</v>
      </c>
      <c r="E257" s="1" t="s">
        <v>16</v>
      </c>
      <c r="F257" s="1" t="s">
        <v>17</v>
      </c>
      <c r="G257" s="1" t="s">
        <v>18</v>
      </c>
      <c r="H257" s="1" t="s">
        <v>59</v>
      </c>
      <c r="I257">
        <v>2</v>
      </c>
      <c r="J257">
        <v>60</v>
      </c>
      <c r="K257">
        <v>0.1</v>
      </c>
      <c r="L257">
        <v>108</v>
      </c>
      <c r="M257" s="1" t="s">
        <v>20</v>
      </c>
    </row>
    <row r="258" spans="1:13" x14ac:dyDescent="0.3">
      <c r="A258" s="1" t="s">
        <v>133</v>
      </c>
      <c r="B258" s="2">
        <v>46091</v>
      </c>
      <c r="C258" s="1" t="s">
        <v>14</v>
      </c>
      <c r="D258" s="1" t="s">
        <v>43</v>
      </c>
      <c r="E258" s="1" t="s">
        <v>44</v>
      </c>
      <c r="F258" s="1" t="s">
        <v>45</v>
      </c>
      <c r="G258" s="1" t="s">
        <v>41</v>
      </c>
      <c r="H258" s="1" t="s">
        <v>59</v>
      </c>
      <c r="I258">
        <v>3</v>
      </c>
      <c r="J258">
        <v>140</v>
      </c>
      <c r="K258">
        <v>0</v>
      </c>
      <c r="L258">
        <v>420</v>
      </c>
      <c r="M258" s="1" t="s">
        <v>37</v>
      </c>
    </row>
    <row r="259" spans="1:13" x14ac:dyDescent="0.3">
      <c r="A259" s="1" t="s">
        <v>133</v>
      </c>
      <c r="B259" s="2">
        <v>46110</v>
      </c>
      <c r="C259" s="1" t="s">
        <v>14</v>
      </c>
      <c r="D259" s="1" t="s">
        <v>34</v>
      </c>
      <c r="E259" s="1" t="s">
        <v>35</v>
      </c>
      <c r="F259" s="1" t="s">
        <v>28</v>
      </c>
      <c r="G259" s="1" t="s">
        <v>41</v>
      </c>
      <c r="H259" s="1" t="s">
        <v>52</v>
      </c>
      <c r="I259">
        <v>1</v>
      </c>
      <c r="J259">
        <v>120</v>
      </c>
      <c r="K259">
        <v>0.05</v>
      </c>
      <c r="L259">
        <v>114</v>
      </c>
      <c r="M259" s="1" t="s">
        <v>25</v>
      </c>
    </row>
    <row r="260" spans="1:13" x14ac:dyDescent="0.3">
      <c r="A260" s="1" t="s">
        <v>133</v>
      </c>
      <c r="B260" s="2">
        <v>46089</v>
      </c>
      <c r="C260" s="1" t="s">
        <v>14</v>
      </c>
      <c r="D260" s="1" t="s">
        <v>34</v>
      </c>
      <c r="E260" s="1" t="s">
        <v>35</v>
      </c>
      <c r="F260" s="1" t="s">
        <v>28</v>
      </c>
      <c r="G260" s="1" t="s">
        <v>18</v>
      </c>
      <c r="H260" s="1" t="s">
        <v>53</v>
      </c>
      <c r="I260">
        <v>4</v>
      </c>
      <c r="J260">
        <v>120</v>
      </c>
      <c r="K260">
        <v>0.05</v>
      </c>
      <c r="L260">
        <v>456</v>
      </c>
      <c r="M260" s="1" t="s">
        <v>25</v>
      </c>
    </row>
    <row r="261" spans="1:13" x14ac:dyDescent="0.3">
      <c r="A261" s="1" t="s">
        <v>133</v>
      </c>
      <c r="B261" s="2">
        <v>46089</v>
      </c>
      <c r="C261" s="1" t="s">
        <v>14</v>
      </c>
      <c r="D261" s="1" t="s">
        <v>38</v>
      </c>
      <c r="E261" s="1" t="s">
        <v>39</v>
      </c>
      <c r="F261" s="1" t="s">
        <v>40</v>
      </c>
      <c r="G261" s="1" t="s">
        <v>18</v>
      </c>
      <c r="H261" s="1" t="s">
        <v>19</v>
      </c>
      <c r="I261">
        <v>2</v>
      </c>
      <c r="J261">
        <v>55</v>
      </c>
      <c r="K261">
        <v>0.05</v>
      </c>
      <c r="L261">
        <v>104.5</v>
      </c>
      <c r="M261" s="1" t="s">
        <v>37</v>
      </c>
    </row>
    <row r="262" spans="1:13" x14ac:dyDescent="0.3">
      <c r="A262" s="1" t="s">
        <v>133</v>
      </c>
      <c r="B262" s="2">
        <v>46094</v>
      </c>
      <c r="C262" s="1" t="s">
        <v>14</v>
      </c>
      <c r="D262" s="1" t="s">
        <v>43</v>
      </c>
      <c r="E262" s="1" t="s">
        <v>44</v>
      </c>
      <c r="F262" s="1" t="s">
        <v>45</v>
      </c>
      <c r="G262" s="1" t="s">
        <v>41</v>
      </c>
      <c r="H262" s="1" t="s">
        <v>74</v>
      </c>
      <c r="I262">
        <v>1</v>
      </c>
      <c r="J262">
        <v>140</v>
      </c>
      <c r="K262">
        <v>0.15</v>
      </c>
      <c r="L262">
        <v>119</v>
      </c>
      <c r="M262" s="1" t="s">
        <v>25</v>
      </c>
    </row>
    <row r="263" spans="1:13" x14ac:dyDescent="0.3">
      <c r="A263" s="1" t="s">
        <v>133</v>
      </c>
      <c r="B263" s="2">
        <v>46104</v>
      </c>
      <c r="C263" s="1" t="s">
        <v>14</v>
      </c>
      <c r="D263" s="1" t="s">
        <v>15</v>
      </c>
      <c r="E263" s="1" t="s">
        <v>16</v>
      </c>
      <c r="F263" s="1" t="s">
        <v>17</v>
      </c>
      <c r="G263" s="1" t="s">
        <v>18</v>
      </c>
      <c r="H263" s="1" t="s">
        <v>46</v>
      </c>
      <c r="I263">
        <v>3</v>
      </c>
      <c r="J263">
        <v>60</v>
      </c>
      <c r="K263">
        <v>0</v>
      </c>
      <c r="L263">
        <v>180</v>
      </c>
      <c r="M263" s="1" t="s">
        <v>25</v>
      </c>
    </row>
    <row r="264" spans="1:13" x14ac:dyDescent="0.3">
      <c r="A264" s="1" t="s">
        <v>133</v>
      </c>
      <c r="B264" s="2">
        <v>46096</v>
      </c>
      <c r="C264" s="1" t="s">
        <v>14</v>
      </c>
      <c r="D264" s="1" t="s">
        <v>26</v>
      </c>
      <c r="E264" s="1" t="s">
        <v>27</v>
      </c>
      <c r="F264" s="1" t="s">
        <v>28</v>
      </c>
      <c r="G264" s="1" t="s">
        <v>41</v>
      </c>
      <c r="H264" s="1" t="s">
        <v>81</v>
      </c>
      <c r="I264">
        <v>3</v>
      </c>
      <c r="J264">
        <v>180</v>
      </c>
      <c r="K264">
        <v>0</v>
      </c>
      <c r="L264">
        <v>540</v>
      </c>
      <c r="M264" s="1" t="s">
        <v>37</v>
      </c>
    </row>
    <row r="265" spans="1:13" x14ac:dyDescent="0.3">
      <c r="A265" s="1" t="s">
        <v>133</v>
      </c>
      <c r="B265" s="2">
        <v>46091</v>
      </c>
      <c r="C265" s="1" t="s">
        <v>14</v>
      </c>
      <c r="D265" s="1" t="s">
        <v>47</v>
      </c>
      <c r="E265" s="1" t="s">
        <v>48</v>
      </c>
      <c r="F265" s="1" t="s">
        <v>45</v>
      </c>
      <c r="G265" s="1" t="s">
        <v>41</v>
      </c>
      <c r="H265" s="1" t="s">
        <v>81</v>
      </c>
      <c r="I265">
        <v>4</v>
      </c>
      <c r="J265">
        <v>85</v>
      </c>
      <c r="K265">
        <v>0.1</v>
      </c>
      <c r="L265">
        <v>306</v>
      </c>
      <c r="M265" s="1" t="s">
        <v>37</v>
      </c>
    </row>
    <row r="266" spans="1:13" x14ac:dyDescent="0.3">
      <c r="A266" s="1" t="s">
        <v>133</v>
      </c>
      <c r="B266" s="2">
        <v>46100</v>
      </c>
      <c r="C266" s="1" t="s">
        <v>14</v>
      </c>
      <c r="D266" s="1" t="s">
        <v>47</v>
      </c>
      <c r="E266" s="1" t="s">
        <v>48</v>
      </c>
      <c r="F266" s="1" t="s">
        <v>45</v>
      </c>
      <c r="G266" s="1" t="s">
        <v>41</v>
      </c>
      <c r="H266" s="1" t="s">
        <v>32</v>
      </c>
      <c r="I266">
        <v>4</v>
      </c>
      <c r="J266">
        <v>85</v>
      </c>
      <c r="K266">
        <v>0</v>
      </c>
      <c r="L266">
        <v>340</v>
      </c>
      <c r="M266" s="1" t="s">
        <v>37</v>
      </c>
    </row>
    <row r="267" spans="1:13" x14ac:dyDescent="0.3">
      <c r="A267" s="1" t="s">
        <v>133</v>
      </c>
      <c r="B267" s="2">
        <v>46084</v>
      </c>
      <c r="C267" s="1" t="s">
        <v>14</v>
      </c>
      <c r="D267" s="1" t="s">
        <v>57</v>
      </c>
      <c r="E267" s="1" t="s">
        <v>58</v>
      </c>
      <c r="F267" s="1" t="s">
        <v>17</v>
      </c>
      <c r="G267" s="1" t="s">
        <v>18</v>
      </c>
      <c r="H267" s="1" t="s">
        <v>78</v>
      </c>
      <c r="I267">
        <v>5</v>
      </c>
      <c r="J267">
        <v>45</v>
      </c>
      <c r="K267">
        <v>0.15</v>
      </c>
      <c r="L267">
        <v>191.25</v>
      </c>
      <c r="M267" s="1" t="s">
        <v>20</v>
      </c>
    </row>
    <row r="268" spans="1:13" x14ac:dyDescent="0.3">
      <c r="A268" s="1" t="s">
        <v>133</v>
      </c>
      <c r="B268" s="2">
        <v>46100</v>
      </c>
      <c r="C268" s="1" t="s">
        <v>14</v>
      </c>
      <c r="D268" s="1" t="s">
        <v>61</v>
      </c>
      <c r="E268" s="1" t="s">
        <v>62</v>
      </c>
      <c r="F268" s="1" t="s">
        <v>40</v>
      </c>
      <c r="G268" s="1" t="s">
        <v>41</v>
      </c>
      <c r="H268" s="1" t="s">
        <v>36</v>
      </c>
      <c r="I268">
        <v>5</v>
      </c>
      <c r="J268">
        <v>160</v>
      </c>
      <c r="K268">
        <v>0</v>
      </c>
      <c r="L268">
        <v>800</v>
      </c>
      <c r="M268" s="1" t="s">
        <v>37</v>
      </c>
    </row>
    <row r="269" spans="1:13" x14ac:dyDescent="0.3">
      <c r="A269" s="1" t="s">
        <v>133</v>
      </c>
      <c r="B269" s="2">
        <v>46108</v>
      </c>
      <c r="C269" s="1" t="s">
        <v>14</v>
      </c>
      <c r="D269" s="1" t="s">
        <v>34</v>
      </c>
      <c r="E269" s="1" t="s">
        <v>35</v>
      </c>
      <c r="F269" s="1" t="s">
        <v>28</v>
      </c>
      <c r="G269" s="1" t="s">
        <v>18</v>
      </c>
      <c r="H269" s="1" t="s">
        <v>32</v>
      </c>
      <c r="I269">
        <v>4</v>
      </c>
      <c r="J269">
        <v>120</v>
      </c>
      <c r="K269">
        <v>0</v>
      </c>
      <c r="L269">
        <v>480</v>
      </c>
      <c r="M269" s="1" t="s">
        <v>37</v>
      </c>
    </row>
    <row r="270" spans="1:13" x14ac:dyDescent="0.3">
      <c r="A270" s="1" t="s">
        <v>133</v>
      </c>
      <c r="B270" s="2">
        <v>46107</v>
      </c>
      <c r="C270" s="1" t="s">
        <v>14</v>
      </c>
      <c r="D270" s="1" t="s">
        <v>38</v>
      </c>
      <c r="E270" s="1" t="s">
        <v>39</v>
      </c>
      <c r="F270" s="1" t="s">
        <v>40</v>
      </c>
      <c r="G270" s="1" t="s">
        <v>41</v>
      </c>
      <c r="H270" s="1" t="s">
        <v>32</v>
      </c>
      <c r="I270">
        <v>4</v>
      </c>
      <c r="J270">
        <v>55</v>
      </c>
      <c r="K270">
        <v>0</v>
      </c>
      <c r="L270">
        <v>220</v>
      </c>
      <c r="M270" s="1" t="s">
        <v>37</v>
      </c>
    </row>
    <row r="271" spans="1:13" x14ac:dyDescent="0.3">
      <c r="A271" s="1" t="s">
        <v>133</v>
      </c>
      <c r="B271" s="2">
        <v>46097</v>
      </c>
      <c r="C271" s="1" t="s">
        <v>14</v>
      </c>
      <c r="D271" s="1" t="s">
        <v>54</v>
      </c>
      <c r="E271" s="1" t="s">
        <v>55</v>
      </c>
      <c r="F271" s="1" t="s">
        <v>23</v>
      </c>
      <c r="G271" s="1" t="s">
        <v>41</v>
      </c>
      <c r="H271" s="1" t="s">
        <v>87</v>
      </c>
      <c r="I271">
        <v>3</v>
      </c>
      <c r="J271">
        <v>75</v>
      </c>
      <c r="K271">
        <v>0</v>
      </c>
      <c r="L271">
        <v>225</v>
      </c>
      <c r="M271" s="1" t="s">
        <v>20</v>
      </c>
    </row>
    <row r="272" spans="1:13" x14ac:dyDescent="0.3">
      <c r="A272" s="1" t="s">
        <v>133</v>
      </c>
      <c r="B272" s="2">
        <v>46093</v>
      </c>
      <c r="C272" s="1" t="s">
        <v>14</v>
      </c>
      <c r="D272" s="1" t="s">
        <v>65</v>
      </c>
      <c r="E272" s="1" t="s">
        <v>66</v>
      </c>
      <c r="F272" s="1" t="s">
        <v>40</v>
      </c>
      <c r="G272" s="1" t="s">
        <v>18</v>
      </c>
      <c r="H272" s="1" t="s">
        <v>84</v>
      </c>
      <c r="I272">
        <v>1</v>
      </c>
      <c r="J272">
        <v>210</v>
      </c>
      <c r="K272">
        <v>0.05</v>
      </c>
      <c r="L272">
        <v>199.5</v>
      </c>
      <c r="M272" s="1" t="s">
        <v>20</v>
      </c>
    </row>
    <row r="273" spans="1:13" x14ac:dyDescent="0.3">
      <c r="A273" s="1" t="s">
        <v>133</v>
      </c>
      <c r="B273" s="2">
        <v>46108</v>
      </c>
      <c r="C273" s="1" t="s">
        <v>14</v>
      </c>
      <c r="D273" s="1" t="s">
        <v>38</v>
      </c>
      <c r="E273" s="1" t="s">
        <v>39</v>
      </c>
      <c r="F273" s="1" t="s">
        <v>40</v>
      </c>
      <c r="G273" s="1" t="s">
        <v>41</v>
      </c>
      <c r="H273" s="1" t="s">
        <v>59</v>
      </c>
      <c r="I273">
        <v>4</v>
      </c>
      <c r="J273">
        <v>55</v>
      </c>
      <c r="K273">
        <v>0.15</v>
      </c>
      <c r="L273">
        <v>187</v>
      </c>
      <c r="M273" s="1" t="s">
        <v>25</v>
      </c>
    </row>
    <row r="274" spans="1:13" x14ac:dyDescent="0.3">
      <c r="A274" s="1" t="s">
        <v>133</v>
      </c>
      <c r="B274" s="2">
        <v>46086</v>
      </c>
      <c r="C274" s="1" t="s">
        <v>14</v>
      </c>
      <c r="D274" s="1" t="s">
        <v>72</v>
      </c>
      <c r="E274" s="1" t="s">
        <v>73</v>
      </c>
      <c r="F274" s="1" t="s">
        <v>17</v>
      </c>
      <c r="G274" s="1" t="s">
        <v>18</v>
      </c>
      <c r="H274" s="1" t="s">
        <v>67</v>
      </c>
      <c r="I274">
        <v>2</v>
      </c>
      <c r="J274">
        <v>170</v>
      </c>
      <c r="K274">
        <v>0.05</v>
      </c>
      <c r="L274">
        <v>323</v>
      </c>
      <c r="M274" s="1" t="s">
        <v>33</v>
      </c>
    </row>
    <row r="275" spans="1:13" x14ac:dyDescent="0.3">
      <c r="A275" s="1" t="s">
        <v>133</v>
      </c>
      <c r="B275" s="2">
        <v>46095</v>
      </c>
      <c r="C275" s="1" t="s">
        <v>14</v>
      </c>
      <c r="D275" s="1" t="s">
        <v>69</v>
      </c>
      <c r="E275" s="1" t="s">
        <v>70</v>
      </c>
      <c r="F275" s="1" t="s">
        <v>28</v>
      </c>
      <c r="G275" s="1" t="s">
        <v>18</v>
      </c>
      <c r="H275" s="1" t="s">
        <v>32</v>
      </c>
      <c r="I275">
        <v>1</v>
      </c>
      <c r="J275">
        <v>95</v>
      </c>
      <c r="K275">
        <v>0</v>
      </c>
      <c r="L275">
        <v>95</v>
      </c>
      <c r="M275" s="1" t="s">
        <v>25</v>
      </c>
    </row>
    <row r="276" spans="1:13" x14ac:dyDescent="0.3">
      <c r="A276" s="1" t="s">
        <v>133</v>
      </c>
      <c r="B276" s="2">
        <v>46101</v>
      </c>
      <c r="C276" s="1" t="s">
        <v>14</v>
      </c>
      <c r="D276" s="1" t="s">
        <v>65</v>
      </c>
      <c r="E276" s="1" t="s">
        <v>66</v>
      </c>
      <c r="F276" s="1" t="s">
        <v>40</v>
      </c>
      <c r="G276" s="1" t="s">
        <v>41</v>
      </c>
      <c r="H276" s="1" t="s">
        <v>84</v>
      </c>
      <c r="I276">
        <v>2</v>
      </c>
      <c r="J276">
        <v>210</v>
      </c>
      <c r="K276">
        <v>0.05</v>
      </c>
      <c r="L276">
        <v>399</v>
      </c>
      <c r="M276" s="1" t="s">
        <v>20</v>
      </c>
    </row>
    <row r="277" spans="1:13" x14ac:dyDescent="0.3">
      <c r="A277" s="1" t="s">
        <v>133</v>
      </c>
      <c r="B277" s="2">
        <v>46104</v>
      </c>
      <c r="C277" s="1" t="s">
        <v>14</v>
      </c>
      <c r="D277" s="1" t="s">
        <v>72</v>
      </c>
      <c r="E277" s="1" t="s">
        <v>73</v>
      </c>
      <c r="F277" s="1" t="s">
        <v>17</v>
      </c>
      <c r="G277" s="1" t="s">
        <v>18</v>
      </c>
      <c r="H277" s="1" t="s">
        <v>64</v>
      </c>
      <c r="I277">
        <v>3</v>
      </c>
      <c r="J277">
        <v>170</v>
      </c>
      <c r="K277">
        <v>0</v>
      </c>
      <c r="L277">
        <v>510</v>
      </c>
      <c r="M277" s="1" t="s">
        <v>20</v>
      </c>
    </row>
    <row r="278" spans="1:13" x14ac:dyDescent="0.3">
      <c r="A278" s="1" t="s">
        <v>133</v>
      </c>
      <c r="B278" s="2">
        <v>46091</v>
      </c>
      <c r="C278" s="1" t="s">
        <v>14</v>
      </c>
      <c r="D278" s="1" t="s">
        <v>72</v>
      </c>
      <c r="E278" s="1" t="s">
        <v>73</v>
      </c>
      <c r="F278" s="1" t="s">
        <v>17</v>
      </c>
      <c r="G278" s="1" t="s">
        <v>18</v>
      </c>
      <c r="H278" s="1" t="s">
        <v>78</v>
      </c>
      <c r="I278">
        <v>1</v>
      </c>
      <c r="J278">
        <v>170</v>
      </c>
      <c r="K278">
        <v>0</v>
      </c>
      <c r="L278">
        <v>170</v>
      </c>
      <c r="M278" s="1" t="s">
        <v>20</v>
      </c>
    </row>
    <row r="279" spans="1:13" x14ac:dyDescent="0.3">
      <c r="A279" s="1" t="s">
        <v>133</v>
      </c>
      <c r="B279" s="2">
        <v>46086</v>
      </c>
      <c r="C279" s="1" t="s">
        <v>14</v>
      </c>
      <c r="D279" s="1" t="s">
        <v>15</v>
      </c>
      <c r="E279" s="1" t="s">
        <v>16</v>
      </c>
      <c r="F279" s="1" t="s">
        <v>17</v>
      </c>
      <c r="G279" s="1" t="s">
        <v>41</v>
      </c>
      <c r="H279" s="1" t="s">
        <v>63</v>
      </c>
      <c r="I279">
        <v>2</v>
      </c>
      <c r="J279">
        <v>60</v>
      </c>
      <c r="K279">
        <v>0</v>
      </c>
      <c r="L279">
        <v>120</v>
      </c>
      <c r="M279" s="1" t="s">
        <v>25</v>
      </c>
    </row>
    <row r="280" spans="1:13" x14ac:dyDescent="0.3">
      <c r="A280" s="1" t="s">
        <v>133</v>
      </c>
      <c r="B280" s="2">
        <v>46086</v>
      </c>
      <c r="C280" s="1" t="s">
        <v>14</v>
      </c>
      <c r="D280" s="1" t="s">
        <v>61</v>
      </c>
      <c r="E280" s="1" t="s">
        <v>62</v>
      </c>
      <c r="F280" s="1" t="s">
        <v>40</v>
      </c>
      <c r="G280" s="1" t="s">
        <v>41</v>
      </c>
      <c r="H280" s="1" t="s">
        <v>32</v>
      </c>
      <c r="I280">
        <v>1</v>
      </c>
      <c r="J280">
        <v>160</v>
      </c>
      <c r="K280">
        <v>0</v>
      </c>
      <c r="L280">
        <v>160</v>
      </c>
      <c r="M280" s="1" t="s">
        <v>20</v>
      </c>
    </row>
    <row r="281" spans="1:13" x14ac:dyDescent="0.3">
      <c r="A281" s="1" t="s">
        <v>133</v>
      </c>
      <c r="B281" s="2">
        <v>46101</v>
      </c>
      <c r="C281" s="1" t="s">
        <v>14</v>
      </c>
      <c r="D281" s="1" t="s">
        <v>54</v>
      </c>
      <c r="E281" s="1" t="s">
        <v>55</v>
      </c>
      <c r="F281" s="1" t="s">
        <v>23</v>
      </c>
      <c r="G281" s="1" t="s">
        <v>18</v>
      </c>
      <c r="H281" s="1" t="s">
        <v>32</v>
      </c>
      <c r="I281">
        <v>4</v>
      </c>
      <c r="J281">
        <v>75</v>
      </c>
      <c r="K281">
        <v>0.1</v>
      </c>
      <c r="L281">
        <v>270</v>
      </c>
      <c r="M281" s="1" t="s">
        <v>25</v>
      </c>
    </row>
    <row r="282" spans="1:13" x14ac:dyDescent="0.3">
      <c r="A282" s="1" t="s">
        <v>133</v>
      </c>
      <c r="B282" s="2">
        <v>46109</v>
      </c>
      <c r="C282" s="1" t="s">
        <v>14</v>
      </c>
      <c r="D282" s="1" t="s">
        <v>47</v>
      </c>
      <c r="E282" s="1" t="s">
        <v>48</v>
      </c>
      <c r="F282" s="1" t="s">
        <v>45</v>
      </c>
      <c r="G282" s="1" t="s">
        <v>41</v>
      </c>
      <c r="H282" s="1" t="s">
        <v>32</v>
      </c>
      <c r="I282">
        <v>1</v>
      </c>
      <c r="J282">
        <v>85</v>
      </c>
      <c r="K282">
        <v>0</v>
      </c>
      <c r="L282">
        <v>85</v>
      </c>
      <c r="M282" s="1" t="s">
        <v>33</v>
      </c>
    </row>
    <row r="283" spans="1:13" x14ac:dyDescent="0.3">
      <c r="A283" s="1" t="s">
        <v>133</v>
      </c>
      <c r="B283" s="2">
        <v>46106</v>
      </c>
      <c r="C283" s="1" t="s">
        <v>14</v>
      </c>
      <c r="D283" s="1" t="s">
        <v>21</v>
      </c>
      <c r="E283" s="1" t="s">
        <v>22</v>
      </c>
      <c r="F283" s="1" t="s">
        <v>23</v>
      </c>
      <c r="G283" s="1" t="s">
        <v>41</v>
      </c>
      <c r="H283" s="1" t="s">
        <v>80</v>
      </c>
      <c r="I283">
        <v>1</v>
      </c>
      <c r="J283">
        <v>220</v>
      </c>
      <c r="K283">
        <v>0</v>
      </c>
      <c r="L283">
        <v>220</v>
      </c>
      <c r="M283" s="1" t="s">
        <v>37</v>
      </c>
    </row>
    <row r="284" spans="1:13" x14ac:dyDescent="0.3">
      <c r="A284" s="1" t="s">
        <v>133</v>
      </c>
      <c r="B284" s="2">
        <v>46083</v>
      </c>
      <c r="C284" s="1" t="s">
        <v>14</v>
      </c>
      <c r="D284" s="1" t="s">
        <v>49</v>
      </c>
      <c r="E284" s="1" t="s">
        <v>50</v>
      </c>
      <c r="F284" s="1" t="s">
        <v>45</v>
      </c>
      <c r="G284" s="1" t="s">
        <v>41</v>
      </c>
      <c r="H284" s="1" t="s">
        <v>68</v>
      </c>
      <c r="I284">
        <v>1</v>
      </c>
      <c r="J284">
        <v>35</v>
      </c>
      <c r="K284">
        <v>0</v>
      </c>
      <c r="L284">
        <v>35</v>
      </c>
      <c r="M284" s="1" t="s">
        <v>20</v>
      </c>
    </row>
    <row r="285" spans="1:13" x14ac:dyDescent="0.3">
      <c r="A285" s="1" t="s">
        <v>133</v>
      </c>
      <c r="B285" s="2">
        <v>46106</v>
      </c>
      <c r="C285" s="1" t="s">
        <v>14</v>
      </c>
      <c r="D285" s="1" t="s">
        <v>30</v>
      </c>
      <c r="E285" s="1" t="s">
        <v>31</v>
      </c>
      <c r="F285" s="1" t="s">
        <v>23</v>
      </c>
      <c r="G285" s="1" t="s">
        <v>41</v>
      </c>
      <c r="H285" s="1" t="s">
        <v>68</v>
      </c>
      <c r="I285">
        <v>3</v>
      </c>
      <c r="J285">
        <v>2800</v>
      </c>
      <c r="K285">
        <v>0.05</v>
      </c>
      <c r="L285">
        <v>7980</v>
      </c>
      <c r="M285" s="1" t="s">
        <v>33</v>
      </c>
    </row>
    <row r="286" spans="1:13" x14ac:dyDescent="0.3">
      <c r="A286" s="1" t="s">
        <v>133</v>
      </c>
      <c r="B286" s="2">
        <v>46093</v>
      </c>
      <c r="C286" s="1" t="s">
        <v>14</v>
      </c>
      <c r="D286" s="1" t="s">
        <v>38</v>
      </c>
      <c r="E286" s="1" t="s">
        <v>39</v>
      </c>
      <c r="F286" s="1" t="s">
        <v>40</v>
      </c>
      <c r="G286" s="1" t="s">
        <v>41</v>
      </c>
      <c r="H286" s="1" t="s">
        <v>84</v>
      </c>
      <c r="I286">
        <v>2</v>
      </c>
      <c r="J286">
        <v>55</v>
      </c>
      <c r="K286">
        <v>0</v>
      </c>
      <c r="L286">
        <v>110</v>
      </c>
      <c r="M286" s="1" t="s">
        <v>20</v>
      </c>
    </row>
    <row r="287" spans="1:13" x14ac:dyDescent="0.3">
      <c r="A287" s="1" t="s">
        <v>133</v>
      </c>
      <c r="B287" s="2">
        <v>46109</v>
      </c>
      <c r="C287" s="1" t="s">
        <v>14</v>
      </c>
      <c r="D287" s="1" t="s">
        <v>57</v>
      </c>
      <c r="E287" s="1" t="s">
        <v>58</v>
      </c>
      <c r="F287" s="1" t="s">
        <v>17</v>
      </c>
      <c r="G287" s="1" t="s">
        <v>41</v>
      </c>
      <c r="H287" s="1" t="s">
        <v>19</v>
      </c>
      <c r="I287">
        <v>3</v>
      </c>
      <c r="J287">
        <v>45</v>
      </c>
      <c r="K287">
        <v>0</v>
      </c>
      <c r="L287">
        <v>135</v>
      </c>
      <c r="M287" s="1" t="s">
        <v>25</v>
      </c>
    </row>
    <row r="288" spans="1:13" x14ac:dyDescent="0.3">
      <c r="A288" s="1" t="s">
        <v>133</v>
      </c>
      <c r="B288" s="2">
        <v>46104</v>
      </c>
      <c r="C288" s="1" t="s">
        <v>14</v>
      </c>
      <c r="D288" s="1" t="s">
        <v>72</v>
      </c>
      <c r="E288" s="1" t="s">
        <v>73</v>
      </c>
      <c r="F288" s="1" t="s">
        <v>17</v>
      </c>
      <c r="G288" s="1" t="s">
        <v>41</v>
      </c>
      <c r="H288" s="1" t="s">
        <v>83</v>
      </c>
      <c r="I288">
        <v>1</v>
      </c>
      <c r="J288">
        <v>170</v>
      </c>
      <c r="K288">
        <v>0</v>
      </c>
      <c r="L288">
        <v>170</v>
      </c>
      <c r="M288" s="1" t="s">
        <v>25</v>
      </c>
    </row>
    <row r="289" spans="1:13" x14ac:dyDescent="0.3">
      <c r="A289" s="1" t="s">
        <v>133</v>
      </c>
      <c r="B289" s="2">
        <v>46111</v>
      </c>
      <c r="C289" s="1" t="s">
        <v>14</v>
      </c>
      <c r="D289" s="1" t="s">
        <v>57</v>
      </c>
      <c r="E289" s="1" t="s">
        <v>58</v>
      </c>
      <c r="F289" s="1" t="s">
        <v>17</v>
      </c>
      <c r="G289" s="1" t="s">
        <v>18</v>
      </c>
      <c r="H289" s="1" t="s">
        <v>64</v>
      </c>
      <c r="I289">
        <v>1</v>
      </c>
      <c r="J289">
        <v>45</v>
      </c>
      <c r="K289">
        <v>0.1</v>
      </c>
      <c r="L289">
        <v>40.5</v>
      </c>
      <c r="M289" s="1" t="s">
        <v>33</v>
      </c>
    </row>
    <row r="290" spans="1:13" x14ac:dyDescent="0.3">
      <c r="A290" s="1" t="s">
        <v>133</v>
      </c>
      <c r="B290" s="2">
        <v>46093</v>
      </c>
      <c r="C290" s="1" t="s">
        <v>14</v>
      </c>
      <c r="D290" s="1" t="s">
        <v>61</v>
      </c>
      <c r="E290" s="1" t="s">
        <v>62</v>
      </c>
      <c r="F290" s="1" t="s">
        <v>40</v>
      </c>
      <c r="G290" s="1" t="s">
        <v>18</v>
      </c>
      <c r="H290" s="1" t="s">
        <v>71</v>
      </c>
      <c r="I290">
        <v>1</v>
      </c>
      <c r="J290">
        <v>160</v>
      </c>
      <c r="K290">
        <v>0</v>
      </c>
      <c r="L290">
        <v>160</v>
      </c>
      <c r="M290" s="1" t="s">
        <v>33</v>
      </c>
    </row>
    <row r="291" spans="1:13" x14ac:dyDescent="0.3">
      <c r="A291" s="1" t="s">
        <v>133</v>
      </c>
      <c r="B291" s="2">
        <v>46085</v>
      </c>
      <c r="C291" s="1" t="s">
        <v>14</v>
      </c>
      <c r="D291" s="1" t="s">
        <v>61</v>
      </c>
      <c r="E291" s="1" t="s">
        <v>62</v>
      </c>
      <c r="F291" s="1" t="s">
        <v>40</v>
      </c>
      <c r="G291" s="1" t="s">
        <v>41</v>
      </c>
      <c r="H291" s="1" t="s">
        <v>46</v>
      </c>
      <c r="I291">
        <v>3</v>
      </c>
      <c r="J291">
        <v>160</v>
      </c>
      <c r="K291">
        <v>0</v>
      </c>
      <c r="L291">
        <v>480</v>
      </c>
      <c r="M291" s="1" t="s">
        <v>20</v>
      </c>
    </row>
    <row r="292" spans="1:13" x14ac:dyDescent="0.3">
      <c r="A292" s="1" t="s">
        <v>133</v>
      </c>
      <c r="B292" s="2">
        <v>46097</v>
      </c>
      <c r="C292" s="1" t="s">
        <v>14</v>
      </c>
      <c r="D292" s="1" t="s">
        <v>38</v>
      </c>
      <c r="E292" s="1" t="s">
        <v>39</v>
      </c>
      <c r="F292" s="1" t="s">
        <v>40</v>
      </c>
      <c r="G292" s="1" t="s">
        <v>41</v>
      </c>
      <c r="H292" s="1" t="s">
        <v>60</v>
      </c>
      <c r="I292">
        <v>1</v>
      </c>
      <c r="J292">
        <v>55</v>
      </c>
      <c r="K292">
        <v>0</v>
      </c>
      <c r="L292">
        <v>55</v>
      </c>
      <c r="M292" s="1" t="s">
        <v>20</v>
      </c>
    </row>
    <row r="293" spans="1:13" x14ac:dyDescent="0.3">
      <c r="A293" s="1" t="s">
        <v>133</v>
      </c>
      <c r="B293" s="2">
        <v>46095</v>
      </c>
      <c r="C293" s="1" t="s">
        <v>14</v>
      </c>
      <c r="D293" s="1" t="s">
        <v>43</v>
      </c>
      <c r="E293" s="1" t="s">
        <v>44</v>
      </c>
      <c r="F293" s="1" t="s">
        <v>45</v>
      </c>
      <c r="G293" s="1" t="s">
        <v>18</v>
      </c>
      <c r="H293" s="1" t="s">
        <v>78</v>
      </c>
      <c r="I293">
        <v>4</v>
      </c>
      <c r="J293">
        <v>140</v>
      </c>
      <c r="K293">
        <v>0</v>
      </c>
      <c r="L293">
        <v>560</v>
      </c>
      <c r="M293" s="1" t="s">
        <v>33</v>
      </c>
    </row>
    <row r="294" spans="1:13" x14ac:dyDescent="0.3">
      <c r="A294" s="1" t="s">
        <v>133</v>
      </c>
      <c r="B294" s="2">
        <v>46093</v>
      </c>
      <c r="C294" s="1" t="s">
        <v>14</v>
      </c>
      <c r="D294" s="1" t="s">
        <v>72</v>
      </c>
      <c r="E294" s="1" t="s">
        <v>73</v>
      </c>
      <c r="F294" s="1" t="s">
        <v>17</v>
      </c>
      <c r="G294" s="1" t="s">
        <v>41</v>
      </c>
      <c r="H294" s="1" t="s">
        <v>87</v>
      </c>
      <c r="I294">
        <v>4</v>
      </c>
      <c r="J294">
        <v>170</v>
      </c>
      <c r="K294">
        <v>0.1</v>
      </c>
      <c r="L294">
        <v>612</v>
      </c>
      <c r="M294" s="1" t="s">
        <v>37</v>
      </c>
    </row>
    <row r="295" spans="1:13" x14ac:dyDescent="0.3">
      <c r="A295" s="1" t="s">
        <v>133</v>
      </c>
      <c r="B295" s="2">
        <v>46103</v>
      </c>
      <c r="C295" s="1" t="s">
        <v>14</v>
      </c>
      <c r="D295" s="1" t="s">
        <v>43</v>
      </c>
      <c r="E295" s="1" t="s">
        <v>44</v>
      </c>
      <c r="F295" s="1" t="s">
        <v>45</v>
      </c>
      <c r="G295" s="1" t="s">
        <v>41</v>
      </c>
      <c r="H295" s="1" t="s">
        <v>56</v>
      </c>
      <c r="I295">
        <v>4</v>
      </c>
      <c r="J295">
        <v>140</v>
      </c>
      <c r="K295">
        <v>0</v>
      </c>
      <c r="L295">
        <v>560</v>
      </c>
      <c r="M295" s="1" t="s">
        <v>37</v>
      </c>
    </row>
    <row r="296" spans="1:13" x14ac:dyDescent="0.3">
      <c r="A296" s="1" t="s">
        <v>133</v>
      </c>
      <c r="B296" s="2">
        <v>46110</v>
      </c>
      <c r="C296" s="1" t="s">
        <v>14</v>
      </c>
      <c r="D296" s="1" t="s">
        <v>47</v>
      </c>
      <c r="E296" s="1" t="s">
        <v>48</v>
      </c>
      <c r="F296" s="1" t="s">
        <v>45</v>
      </c>
      <c r="G296" s="1" t="s">
        <v>41</v>
      </c>
      <c r="H296" s="1" t="s">
        <v>51</v>
      </c>
      <c r="I296">
        <v>1</v>
      </c>
      <c r="J296">
        <v>85</v>
      </c>
      <c r="K296">
        <v>0.05</v>
      </c>
      <c r="L296">
        <v>80.75</v>
      </c>
      <c r="M296" s="1" t="s">
        <v>20</v>
      </c>
    </row>
    <row r="297" spans="1:13" x14ac:dyDescent="0.3">
      <c r="A297" s="1" t="s">
        <v>133</v>
      </c>
      <c r="B297" s="2">
        <v>46108</v>
      </c>
      <c r="C297" s="1" t="s">
        <v>14</v>
      </c>
      <c r="D297" s="1" t="s">
        <v>21</v>
      </c>
      <c r="E297" s="1" t="s">
        <v>22</v>
      </c>
      <c r="F297" s="1" t="s">
        <v>23</v>
      </c>
      <c r="G297" s="1" t="s">
        <v>18</v>
      </c>
      <c r="H297" s="1" t="s">
        <v>85</v>
      </c>
      <c r="I297">
        <v>4</v>
      </c>
      <c r="J297">
        <v>220</v>
      </c>
      <c r="K297">
        <v>0</v>
      </c>
      <c r="L297">
        <v>880</v>
      </c>
      <c r="M297" s="1" t="s">
        <v>20</v>
      </c>
    </row>
    <row r="298" spans="1:13" x14ac:dyDescent="0.3">
      <c r="A298" s="1" t="s">
        <v>133</v>
      </c>
      <c r="B298" s="2">
        <v>46103</v>
      </c>
      <c r="C298" s="1" t="s">
        <v>14</v>
      </c>
      <c r="D298" s="1" t="s">
        <v>49</v>
      </c>
      <c r="E298" s="1" t="s">
        <v>50</v>
      </c>
      <c r="F298" s="1" t="s">
        <v>45</v>
      </c>
      <c r="G298" s="1" t="s">
        <v>18</v>
      </c>
      <c r="H298" s="1" t="s">
        <v>71</v>
      </c>
      <c r="I298">
        <v>4</v>
      </c>
      <c r="J298">
        <v>35</v>
      </c>
      <c r="K298">
        <v>0</v>
      </c>
      <c r="L298">
        <v>140</v>
      </c>
      <c r="M298" s="1" t="s">
        <v>20</v>
      </c>
    </row>
    <row r="299" spans="1:13" x14ac:dyDescent="0.3">
      <c r="A299" s="1" t="s">
        <v>133</v>
      </c>
      <c r="B299" s="2">
        <v>46090</v>
      </c>
      <c r="C299" s="1" t="s">
        <v>14</v>
      </c>
      <c r="D299" s="1" t="s">
        <v>54</v>
      </c>
      <c r="E299" s="1" t="s">
        <v>55</v>
      </c>
      <c r="F299" s="1" t="s">
        <v>23</v>
      </c>
      <c r="G299" s="1" t="s">
        <v>18</v>
      </c>
      <c r="H299" s="1" t="s">
        <v>75</v>
      </c>
      <c r="I299">
        <v>4</v>
      </c>
      <c r="J299">
        <v>75</v>
      </c>
      <c r="K299">
        <v>0</v>
      </c>
      <c r="L299">
        <v>300</v>
      </c>
      <c r="M299" s="1" t="s">
        <v>33</v>
      </c>
    </row>
    <row r="300" spans="1:13" x14ac:dyDescent="0.3">
      <c r="A300" s="1" t="s">
        <v>133</v>
      </c>
      <c r="B300" s="2">
        <v>46097</v>
      </c>
      <c r="C300" s="1" t="s">
        <v>14</v>
      </c>
      <c r="D300" s="1" t="s">
        <v>30</v>
      </c>
      <c r="E300" s="1" t="s">
        <v>31</v>
      </c>
      <c r="F300" s="1" t="s">
        <v>23</v>
      </c>
      <c r="G300" s="1" t="s">
        <v>41</v>
      </c>
      <c r="H300" s="1" t="s">
        <v>56</v>
      </c>
      <c r="I300">
        <v>1</v>
      </c>
      <c r="J300">
        <v>2800</v>
      </c>
      <c r="K300">
        <v>0.1</v>
      </c>
      <c r="L300">
        <v>2520</v>
      </c>
      <c r="M300" s="1" t="s">
        <v>20</v>
      </c>
    </row>
    <row r="301" spans="1:13" x14ac:dyDescent="0.3">
      <c r="A301" s="1" t="s">
        <v>133</v>
      </c>
      <c r="B301" s="2">
        <v>46106</v>
      </c>
      <c r="C301" s="1" t="s">
        <v>14</v>
      </c>
      <c r="D301" s="1" t="s">
        <v>54</v>
      </c>
      <c r="E301" s="1" t="s">
        <v>55</v>
      </c>
      <c r="F301" s="1" t="s">
        <v>23</v>
      </c>
      <c r="G301" s="1" t="s">
        <v>41</v>
      </c>
      <c r="H301" s="1" t="s">
        <v>71</v>
      </c>
      <c r="I301">
        <v>5</v>
      </c>
      <c r="J301">
        <v>75</v>
      </c>
      <c r="K301">
        <v>0.05</v>
      </c>
      <c r="L301">
        <v>356.25</v>
      </c>
      <c r="M301" s="1" t="s">
        <v>37</v>
      </c>
    </row>
    <row r="302" spans="1:13" x14ac:dyDescent="0.3">
      <c r="A302" s="1" t="s">
        <v>88</v>
      </c>
      <c r="B302" s="2">
        <v>46028</v>
      </c>
      <c r="C302" s="1" t="s">
        <v>89</v>
      </c>
      <c r="D302" s="1" t="s">
        <v>26</v>
      </c>
      <c r="E302" s="1" t="s">
        <v>27</v>
      </c>
      <c r="F302" s="1" t="s">
        <v>28</v>
      </c>
      <c r="G302" s="1" t="s">
        <v>90</v>
      </c>
      <c r="H302" s="1" t="s">
        <v>78</v>
      </c>
      <c r="I302">
        <v>1</v>
      </c>
      <c r="J302">
        <v>180</v>
      </c>
      <c r="K302">
        <v>0</v>
      </c>
      <c r="L302">
        <v>180</v>
      </c>
      <c r="M302" s="1" t="s">
        <v>37</v>
      </c>
    </row>
    <row r="303" spans="1:13" x14ac:dyDescent="0.3">
      <c r="A303" s="1" t="s">
        <v>88</v>
      </c>
      <c r="B303" s="2">
        <v>46030</v>
      </c>
      <c r="C303" s="1" t="s">
        <v>89</v>
      </c>
      <c r="D303" s="1" t="s">
        <v>43</v>
      </c>
      <c r="E303" s="1" t="s">
        <v>44</v>
      </c>
      <c r="F303" s="1" t="s">
        <v>45</v>
      </c>
      <c r="G303" s="1" t="s">
        <v>91</v>
      </c>
      <c r="H303" s="1" t="s">
        <v>67</v>
      </c>
      <c r="I303">
        <v>4</v>
      </c>
      <c r="J303">
        <v>140</v>
      </c>
      <c r="K303">
        <v>0</v>
      </c>
      <c r="L303">
        <v>560</v>
      </c>
      <c r="M303" s="1" t="s">
        <v>37</v>
      </c>
    </row>
    <row r="304" spans="1:13" x14ac:dyDescent="0.3">
      <c r="A304" s="1" t="s">
        <v>88</v>
      </c>
      <c r="B304" s="2">
        <v>46048</v>
      </c>
      <c r="C304" s="1" t="s">
        <v>89</v>
      </c>
      <c r="D304" s="1" t="s">
        <v>30</v>
      </c>
      <c r="E304" s="1" t="s">
        <v>31</v>
      </c>
      <c r="F304" s="1" t="s">
        <v>23</v>
      </c>
      <c r="G304" s="1" t="s">
        <v>90</v>
      </c>
      <c r="H304" s="1" t="s">
        <v>52</v>
      </c>
      <c r="I304">
        <v>2</v>
      </c>
      <c r="J304">
        <v>2800</v>
      </c>
      <c r="K304">
        <v>0.1</v>
      </c>
      <c r="L304">
        <v>5040</v>
      </c>
      <c r="M304" s="1" t="s">
        <v>33</v>
      </c>
    </row>
    <row r="305" spans="1:13" x14ac:dyDescent="0.3">
      <c r="A305" s="1" t="s">
        <v>88</v>
      </c>
      <c r="B305" s="2">
        <v>46025</v>
      </c>
      <c r="C305" s="1" t="s">
        <v>89</v>
      </c>
      <c r="D305" s="1" t="s">
        <v>43</v>
      </c>
      <c r="E305" s="1" t="s">
        <v>44</v>
      </c>
      <c r="F305" s="1" t="s">
        <v>45</v>
      </c>
      <c r="G305" s="1" t="s">
        <v>90</v>
      </c>
      <c r="H305" s="1" t="s">
        <v>32</v>
      </c>
      <c r="I305">
        <v>3</v>
      </c>
      <c r="J305">
        <v>140</v>
      </c>
      <c r="K305">
        <v>0.1</v>
      </c>
      <c r="L305">
        <v>378</v>
      </c>
      <c r="M305" s="1" t="s">
        <v>20</v>
      </c>
    </row>
    <row r="306" spans="1:13" x14ac:dyDescent="0.3">
      <c r="A306" s="1" t="s">
        <v>88</v>
      </c>
      <c r="B306" s="2">
        <v>46045</v>
      </c>
      <c r="C306" s="1" t="s">
        <v>89</v>
      </c>
      <c r="D306" s="1" t="s">
        <v>61</v>
      </c>
      <c r="E306" s="1" t="s">
        <v>62</v>
      </c>
      <c r="F306" s="1" t="s">
        <v>40</v>
      </c>
      <c r="G306" s="1" t="s">
        <v>91</v>
      </c>
      <c r="H306" s="1" t="s">
        <v>71</v>
      </c>
      <c r="I306">
        <v>4</v>
      </c>
      <c r="J306">
        <v>160</v>
      </c>
      <c r="K306">
        <v>0.05</v>
      </c>
      <c r="L306">
        <v>608</v>
      </c>
      <c r="M306" s="1" t="s">
        <v>37</v>
      </c>
    </row>
    <row r="307" spans="1:13" x14ac:dyDescent="0.3">
      <c r="A307" s="1" t="s">
        <v>88</v>
      </c>
      <c r="B307" s="2">
        <v>46036</v>
      </c>
      <c r="C307" s="1" t="s">
        <v>89</v>
      </c>
      <c r="D307" s="1" t="s">
        <v>61</v>
      </c>
      <c r="E307" s="1" t="s">
        <v>62</v>
      </c>
      <c r="F307" s="1" t="s">
        <v>40</v>
      </c>
      <c r="G307" s="1" t="s">
        <v>91</v>
      </c>
      <c r="H307" s="1" t="s">
        <v>29</v>
      </c>
      <c r="I307">
        <v>5</v>
      </c>
      <c r="J307">
        <v>160</v>
      </c>
      <c r="K307">
        <v>0</v>
      </c>
      <c r="L307">
        <v>800</v>
      </c>
      <c r="M307" s="1" t="s">
        <v>25</v>
      </c>
    </row>
    <row r="308" spans="1:13" x14ac:dyDescent="0.3">
      <c r="A308" s="1" t="s">
        <v>88</v>
      </c>
      <c r="B308" s="2">
        <v>46023</v>
      </c>
      <c r="C308" s="1" t="s">
        <v>89</v>
      </c>
      <c r="D308" s="1" t="s">
        <v>21</v>
      </c>
      <c r="E308" s="1" t="s">
        <v>22</v>
      </c>
      <c r="F308" s="1" t="s">
        <v>23</v>
      </c>
      <c r="G308" s="1" t="s">
        <v>91</v>
      </c>
      <c r="H308" s="1" t="s">
        <v>80</v>
      </c>
      <c r="I308">
        <v>5</v>
      </c>
      <c r="J308">
        <v>220</v>
      </c>
      <c r="K308">
        <v>0.05</v>
      </c>
      <c r="L308">
        <v>1045</v>
      </c>
      <c r="M308" s="1" t="s">
        <v>33</v>
      </c>
    </row>
    <row r="309" spans="1:13" x14ac:dyDescent="0.3">
      <c r="A309" s="1" t="s">
        <v>88</v>
      </c>
      <c r="B309" s="2">
        <v>46028</v>
      </c>
      <c r="C309" s="1" t="s">
        <v>89</v>
      </c>
      <c r="D309" s="1" t="s">
        <v>61</v>
      </c>
      <c r="E309" s="1" t="s">
        <v>62</v>
      </c>
      <c r="F309" s="1" t="s">
        <v>40</v>
      </c>
      <c r="G309" s="1" t="s">
        <v>91</v>
      </c>
      <c r="H309" s="1" t="s">
        <v>42</v>
      </c>
      <c r="I309">
        <v>4</v>
      </c>
      <c r="J309">
        <v>160</v>
      </c>
      <c r="K309">
        <v>0.1</v>
      </c>
      <c r="L309">
        <v>576</v>
      </c>
      <c r="M309" s="1" t="s">
        <v>25</v>
      </c>
    </row>
    <row r="310" spans="1:13" x14ac:dyDescent="0.3">
      <c r="A310" s="1" t="s">
        <v>88</v>
      </c>
      <c r="B310" s="2">
        <v>46044</v>
      </c>
      <c r="C310" s="1" t="s">
        <v>89</v>
      </c>
      <c r="D310" s="1" t="s">
        <v>61</v>
      </c>
      <c r="E310" s="1" t="s">
        <v>62</v>
      </c>
      <c r="F310" s="1" t="s">
        <v>40</v>
      </c>
      <c r="G310" s="1" t="s">
        <v>90</v>
      </c>
      <c r="H310" s="1" t="s">
        <v>53</v>
      </c>
      <c r="I310">
        <v>4</v>
      </c>
      <c r="J310">
        <v>160</v>
      </c>
      <c r="K310">
        <v>0</v>
      </c>
      <c r="L310">
        <v>640</v>
      </c>
      <c r="M310" s="1" t="s">
        <v>37</v>
      </c>
    </row>
    <row r="311" spans="1:13" x14ac:dyDescent="0.3">
      <c r="A311" s="1" t="s">
        <v>88</v>
      </c>
      <c r="B311" s="2">
        <v>46035</v>
      </c>
      <c r="C311" s="1" t="s">
        <v>89</v>
      </c>
      <c r="D311" s="1" t="s">
        <v>43</v>
      </c>
      <c r="E311" s="1" t="s">
        <v>44</v>
      </c>
      <c r="F311" s="1" t="s">
        <v>45</v>
      </c>
      <c r="G311" s="1" t="s">
        <v>90</v>
      </c>
      <c r="H311" s="1" t="s">
        <v>53</v>
      </c>
      <c r="I311">
        <v>3</v>
      </c>
      <c r="J311">
        <v>140</v>
      </c>
      <c r="K311">
        <v>0.05</v>
      </c>
      <c r="L311">
        <v>399</v>
      </c>
      <c r="M311" s="1" t="s">
        <v>20</v>
      </c>
    </row>
    <row r="312" spans="1:13" x14ac:dyDescent="0.3">
      <c r="A312" s="1" t="s">
        <v>88</v>
      </c>
      <c r="B312" s="2">
        <v>46049</v>
      </c>
      <c r="C312" s="1" t="s">
        <v>89</v>
      </c>
      <c r="D312" s="1" t="s">
        <v>34</v>
      </c>
      <c r="E312" s="1" t="s">
        <v>35</v>
      </c>
      <c r="F312" s="1" t="s">
        <v>28</v>
      </c>
      <c r="G312" s="1" t="s">
        <v>90</v>
      </c>
      <c r="H312" s="1" t="s">
        <v>52</v>
      </c>
      <c r="I312">
        <v>4</v>
      </c>
      <c r="J312">
        <v>120</v>
      </c>
      <c r="K312">
        <v>0.1</v>
      </c>
      <c r="L312">
        <v>432</v>
      </c>
      <c r="M312" s="1" t="s">
        <v>37</v>
      </c>
    </row>
    <row r="313" spans="1:13" x14ac:dyDescent="0.3">
      <c r="A313" s="1" t="s">
        <v>88</v>
      </c>
      <c r="B313" s="2">
        <v>46042</v>
      </c>
      <c r="C313" s="1" t="s">
        <v>89</v>
      </c>
      <c r="D313" s="1" t="s">
        <v>61</v>
      </c>
      <c r="E313" s="1" t="s">
        <v>62</v>
      </c>
      <c r="F313" s="1" t="s">
        <v>40</v>
      </c>
      <c r="G313" s="1" t="s">
        <v>91</v>
      </c>
      <c r="H313" s="1" t="s">
        <v>80</v>
      </c>
      <c r="I313">
        <v>2</v>
      </c>
      <c r="J313">
        <v>160</v>
      </c>
      <c r="K313">
        <v>0</v>
      </c>
      <c r="L313">
        <v>320</v>
      </c>
      <c r="M313" s="1" t="s">
        <v>25</v>
      </c>
    </row>
    <row r="314" spans="1:13" x14ac:dyDescent="0.3">
      <c r="A314" s="1" t="s">
        <v>88</v>
      </c>
      <c r="B314" s="2">
        <v>46032</v>
      </c>
      <c r="C314" s="1" t="s">
        <v>89</v>
      </c>
      <c r="D314" s="1" t="s">
        <v>21</v>
      </c>
      <c r="E314" s="1" t="s">
        <v>22</v>
      </c>
      <c r="F314" s="1" t="s">
        <v>23</v>
      </c>
      <c r="G314" s="1" t="s">
        <v>91</v>
      </c>
      <c r="H314" s="1" t="s">
        <v>42</v>
      </c>
      <c r="I314">
        <v>5</v>
      </c>
      <c r="J314">
        <v>220</v>
      </c>
      <c r="K314">
        <v>0</v>
      </c>
      <c r="L314">
        <v>1100</v>
      </c>
      <c r="M314" s="1" t="s">
        <v>25</v>
      </c>
    </row>
    <row r="315" spans="1:13" x14ac:dyDescent="0.3">
      <c r="A315" s="1" t="s">
        <v>88</v>
      </c>
      <c r="B315" s="2">
        <v>46045</v>
      </c>
      <c r="C315" s="1" t="s">
        <v>89</v>
      </c>
      <c r="D315" s="1" t="s">
        <v>30</v>
      </c>
      <c r="E315" s="1" t="s">
        <v>31</v>
      </c>
      <c r="F315" s="1" t="s">
        <v>23</v>
      </c>
      <c r="G315" s="1" t="s">
        <v>90</v>
      </c>
      <c r="H315" s="1" t="s">
        <v>29</v>
      </c>
      <c r="I315">
        <v>5</v>
      </c>
      <c r="J315">
        <v>2800</v>
      </c>
      <c r="K315">
        <v>0.05</v>
      </c>
      <c r="L315">
        <v>13300</v>
      </c>
      <c r="M315" s="1" t="s">
        <v>37</v>
      </c>
    </row>
    <row r="316" spans="1:13" x14ac:dyDescent="0.3">
      <c r="A316" s="1" t="s">
        <v>88</v>
      </c>
      <c r="B316" s="2">
        <v>46026</v>
      </c>
      <c r="C316" s="1" t="s">
        <v>89</v>
      </c>
      <c r="D316" s="1" t="s">
        <v>54</v>
      </c>
      <c r="E316" s="1" t="s">
        <v>55</v>
      </c>
      <c r="F316" s="1" t="s">
        <v>23</v>
      </c>
      <c r="G316" s="1" t="s">
        <v>90</v>
      </c>
      <c r="H316" s="1" t="s">
        <v>67</v>
      </c>
      <c r="I316">
        <v>1</v>
      </c>
      <c r="J316">
        <v>75</v>
      </c>
      <c r="K316">
        <v>0</v>
      </c>
      <c r="L316">
        <v>75</v>
      </c>
      <c r="M316" s="1" t="s">
        <v>20</v>
      </c>
    </row>
    <row r="317" spans="1:13" x14ac:dyDescent="0.3">
      <c r="A317" s="1" t="s">
        <v>88</v>
      </c>
      <c r="B317" s="2">
        <v>46038</v>
      </c>
      <c r="C317" s="1" t="s">
        <v>89</v>
      </c>
      <c r="D317" s="1" t="s">
        <v>65</v>
      </c>
      <c r="E317" s="1" t="s">
        <v>66</v>
      </c>
      <c r="F317" s="1" t="s">
        <v>40</v>
      </c>
      <c r="G317" s="1" t="s">
        <v>91</v>
      </c>
      <c r="H317" s="1" t="s">
        <v>52</v>
      </c>
      <c r="I317">
        <v>3</v>
      </c>
      <c r="J317">
        <v>210</v>
      </c>
      <c r="K317">
        <v>0</v>
      </c>
      <c r="L317">
        <v>630</v>
      </c>
      <c r="M317" s="1" t="s">
        <v>33</v>
      </c>
    </row>
    <row r="318" spans="1:13" x14ac:dyDescent="0.3">
      <c r="A318" s="1" t="s">
        <v>88</v>
      </c>
      <c r="B318" s="2">
        <v>46051</v>
      </c>
      <c r="C318" s="1" t="s">
        <v>89</v>
      </c>
      <c r="D318" s="1" t="s">
        <v>69</v>
      </c>
      <c r="E318" s="1" t="s">
        <v>70</v>
      </c>
      <c r="F318" s="1" t="s">
        <v>28</v>
      </c>
      <c r="G318" s="1" t="s">
        <v>90</v>
      </c>
      <c r="H318" s="1" t="s">
        <v>85</v>
      </c>
      <c r="I318">
        <v>5</v>
      </c>
      <c r="J318">
        <v>95</v>
      </c>
      <c r="K318">
        <v>0</v>
      </c>
      <c r="L318">
        <v>475</v>
      </c>
      <c r="M318" s="1" t="s">
        <v>37</v>
      </c>
    </row>
    <row r="319" spans="1:13" x14ac:dyDescent="0.3">
      <c r="A319" s="1" t="s">
        <v>88</v>
      </c>
      <c r="B319" s="2">
        <v>46023</v>
      </c>
      <c r="C319" s="1" t="s">
        <v>89</v>
      </c>
      <c r="D319" s="1" t="s">
        <v>34</v>
      </c>
      <c r="E319" s="1" t="s">
        <v>35</v>
      </c>
      <c r="F319" s="1" t="s">
        <v>28</v>
      </c>
      <c r="G319" s="1" t="s">
        <v>91</v>
      </c>
      <c r="H319" s="1" t="s">
        <v>36</v>
      </c>
      <c r="I319">
        <v>5</v>
      </c>
      <c r="J319">
        <v>120</v>
      </c>
      <c r="K319">
        <v>0</v>
      </c>
      <c r="L319">
        <v>600</v>
      </c>
      <c r="M319" s="1" t="s">
        <v>37</v>
      </c>
    </row>
    <row r="320" spans="1:13" x14ac:dyDescent="0.3">
      <c r="A320" s="1" t="s">
        <v>88</v>
      </c>
      <c r="B320" s="2">
        <v>46034</v>
      </c>
      <c r="C320" s="1" t="s">
        <v>89</v>
      </c>
      <c r="D320" s="1" t="s">
        <v>72</v>
      </c>
      <c r="E320" s="1" t="s">
        <v>73</v>
      </c>
      <c r="F320" s="1" t="s">
        <v>17</v>
      </c>
      <c r="G320" s="1" t="s">
        <v>91</v>
      </c>
      <c r="H320" s="1" t="s">
        <v>52</v>
      </c>
      <c r="I320">
        <v>4</v>
      </c>
      <c r="J320">
        <v>170</v>
      </c>
      <c r="K320">
        <v>0</v>
      </c>
      <c r="L320">
        <v>680</v>
      </c>
      <c r="M320" s="1" t="s">
        <v>37</v>
      </c>
    </row>
    <row r="321" spans="1:13" x14ac:dyDescent="0.3">
      <c r="A321" s="1" t="s">
        <v>88</v>
      </c>
      <c r="B321" s="2">
        <v>46045</v>
      </c>
      <c r="C321" s="1" t="s">
        <v>89</v>
      </c>
      <c r="D321" s="1" t="s">
        <v>61</v>
      </c>
      <c r="E321" s="1" t="s">
        <v>62</v>
      </c>
      <c r="F321" s="1" t="s">
        <v>40</v>
      </c>
      <c r="G321" s="1" t="s">
        <v>90</v>
      </c>
      <c r="H321" s="1" t="s">
        <v>77</v>
      </c>
      <c r="I321">
        <v>3</v>
      </c>
      <c r="J321">
        <v>160</v>
      </c>
      <c r="K321">
        <v>0.1</v>
      </c>
      <c r="L321">
        <v>432</v>
      </c>
      <c r="M321" s="1" t="s">
        <v>37</v>
      </c>
    </row>
    <row r="322" spans="1:13" x14ac:dyDescent="0.3">
      <c r="A322" s="1" t="s">
        <v>88</v>
      </c>
      <c r="B322" s="2">
        <v>46048</v>
      </c>
      <c r="C322" s="1" t="s">
        <v>89</v>
      </c>
      <c r="D322" s="1" t="s">
        <v>30</v>
      </c>
      <c r="E322" s="1" t="s">
        <v>31</v>
      </c>
      <c r="F322" s="1" t="s">
        <v>23</v>
      </c>
      <c r="G322" s="1" t="s">
        <v>91</v>
      </c>
      <c r="H322" s="1" t="s">
        <v>79</v>
      </c>
      <c r="I322">
        <v>4</v>
      </c>
      <c r="J322">
        <v>2800</v>
      </c>
      <c r="K322">
        <v>0.05</v>
      </c>
      <c r="L322">
        <v>10640</v>
      </c>
      <c r="M322" s="1" t="s">
        <v>33</v>
      </c>
    </row>
    <row r="323" spans="1:13" x14ac:dyDescent="0.3">
      <c r="A323" s="1" t="s">
        <v>88</v>
      </c>
      <c r="B323" s="2">
        <v>46053</v>
      </c>
      <c r="C323" s="1" t="s">
        <v>89</v>
      </c>
      <c r="D323" s="1" t="s">
        <v>65</v>
      </c>
      <c r="E323" s="1" t="s">
        <v>66</v>
      </c>
      <c r="F323" s="1" t="s">
        <v>40</v>
      </c>
      <c r="G323" s="1" t="s">
        <v>91</v>
      </c>
      <c r="H323" s="1" t="s">
        <v>84</v>
      </c>
      <c r="I323">
        <v>1</v>
      </c>
      <c r="J323">
        <v>210</v>
      </c>
      <c r="K323">
        <v>0</v>
      </c>
      <c r="L323">
        <v>210</v>
      </c>
      <c r="M323" s="1" t="s">
        <v>37</v>
      </c>
    </row>
    <row r="324" spans="1:13" x14ac:dyDescent="0.3">
      <c r="A324" s="1" t="s">
        <v>88</v>
      </c>
      <c r="B324" s="2">
        <v>46027</v>
      </c>
      <c r="C324" s="1" t="s">
        <v>89</v>
      </c>
      <c r="D324" s="1" t="s">
        <v>54</v>
      </c>
      <c r="E324" s="1" t="s">
        <v>55</v>
      </c>
      <c r="F324" s="1" t="s">
        <v>23</v>
      </c>
      <c r="G324" s="1" t="s">
        <v>91</v>
      </c>
      <c r="H324" s="1" t="s">
        <v>24</v>
      </c>
      <c r="I324">
        <v>4</v>
      </c>
      <c r="J324">
        <v>75</v>
      </c>
      <c r="K324">
        <v>0</v>
      </c>
      <c r="L324">
        <v>300</v>
      </c>
      <c r="M324" s="1" t="s">
        <v>25</v>
      </c>
    </row>
    <row r="325" spans="1:13" x14ac:dyDescent="0.3">
      <c r="A325" s="1" t="s">
        <v>88</v>
      </c>
      <c r="B325" s="2">
        <v>46045</v>
      </c>
      <c r="C325" s="1" t="s">
        <v>89</v>
      </c>
      <c r="D325" s="1" t="s">
        <v>61</v>
      </c>
      <c r="E325" s="1" t="s">
        <v>62</v>
      </c>
      <c r="F325" s="1" t="s">
        <v>40</v>
      </c>
      <c r="G325" s="1" t="s">
        <v>91</v>
      </c>
      <c r="H325" s="1" t="s">
        <v>84</v>
      </c>
      <c r="I325">
        <v>3</v>
      </c>
      <c r="J325">
        <v>160</v>
      </c>
      <c r="K325">
        <v>0</v>
      </c>
      <c r="L325">
        <v>480</v>
      </c>
      <c r="M325" s="1" t="s">
        <v>20</v>
      </c>
    </row>
    <row r="326" spans="1:13" x14ac:dyDescent="0.3">
      <c r="A326" s="1" t="s">
        <v>88</v>
      </c>
      <c r="B326" s="2">
        <v>46033</v>
      </c>
      <c r="C326" s="1" t="s">
        <v>89</v>
      </c>
      <c r="D326" s="1" t="s">
        <v>72</v>
      </c>
      <c r="E326" s="1" t="s">
        <v>73</v>
      </c>
      <c r="F326" s="1" t="s">
        <v>17</v>
      </c>
      <c r="G326" s="1" t="s">
        <v>91</v>
      </c>
      <c r="H326" s="1" t="s">
        <v>82</v>
      </c>
      <c r="I326">
        <v>5</v>
      </c>
      <c r="J326">
        <v>170</v>
      </c>
      <c r="K326">
        <v>0</v>
      </c>
      <c r="L326">
        <v>850</v>
      </c>
      <c r="M326" s="1" t="s">
        <v>25</v>
      </c>
    </row>
    <row r="327" spans="1:13" x14ac:dyDescent="0.3">
      <c r="A327" s="1" t="s">
        <v>88</v>
      </c>
      <c r="B327" s="2">
        <v>46046</v>
      </c>
      <c r="C327" s="1" t="s">
        <v>89</v>
      </c>
      <c r="D327" s="1" t="s">
        <v>26</v>
      </c>
      <c r="E327" s="1" t="s">
        <v>27</v>
      </c>
      <c r="F327" s="1" t="s">
        <v>28</v>
      </c>
      <c r="G327" s="1" t="s">
        <v>90</v>
      </c>
      <c r="H327" s="1" t="s">
        <v>76</v>
      </c>
      <c r="I327">
        <v>3</v>
      </c>
      <c r="J327">
        <v>180</v>
      </c>
      <c r="K327">
        <v>0.15</v>
      </c>
      <c r="L327">
        <v>459</v>
      </c>
      <c r="M327" s="1" t="s">
        <v>25</v>
      </c>
    </row>
    <row r="328" spans="1:13" x14ac:dyDescent="0.3">
      <c r="A328" s="1" t="s">
        <v>88</v>
      </c>
      <c r="B328" s="2">
        <v>46024</v>
      </c>
      <c r="C328" s="1" t="s">
        <v>89</v>
      </c>
      <c r="D328" s="1" t="s">
        <v>61</v>
      </c>
      <c r="E328" s="1" t="s">
        <v>62</v>
      </c>
      <c r="F328" s="1" t="s">
        <v>40</v>
      </c>
      <c r="G328" s="1" t="s">
        <v>91</v>
      </c>
      <c r="H328" s="1" t="s">
        <v>32</v>
      </c>
      <c r="I328">
        <v>3</v>
      </c>
      <c r="J328">
        <v>160</v>
      </c>
      <c r="K328">
        <v>0.1</v>
      </c>
      <c r="L328">
        <v>432</v>
      </c>
      <c r="M328" s="1" t="s">
        <v>20</v>
      </c>
    </row>
    <row r="329" spans="1:13" x14ac:dyDescent="0.3">
      <c r="A329" s="1" t="s">
        <v>88</v>
      </c>
      <c r="B329" s="2">
        <v>46036</v>
      </c>
      <c r="C329" s="1" t="s">
        <v>89</v>
      </c>
      <c r="D329" s="1" t="s">
        <v>69</v>
      </c>
      <c r="E329" s="1" t="s">
        <v>70</v>
      </c>
      <c r="F329" s="1" t="s">
        <v>28</v>
      </c>
      <c r="G329" s="1" t="s">
        <v>90</v>
      </c>
      <c r="H329" s="1" t="s">
        <v>19</v>
      </c>
      <c r="I329">
        <v>2</v>
      </c>
      <c r="J329">
        <v>95</v>
      </c>
      <c r="K329">
        <v>0</v>
      </c>
      <c r="L329">
        <v>190</v>
      </c>
      <c r="M329" s="1" t="s">
        <v>37</v>
      </c>
    </row>
    <row r="330" spans="1:13" x14ac:dyDescent="0.3">
      <c r="A330" s="1" t="s">
        <v>88</v>
      </c>
      <c r="B330" s="2">
        <v>46041</v>
      </c>
      <c r="C330" s="1" t="s">
        <v>89</v>
      </c>
      <c r="D330" s="1" t="s">
        <v>38</v>
      </c>
      <c r="E330" s="1" t="s">
        <v>39</v>
      </c>
      <c r="F330" s="1" t="s">
        <v>40</v>
      </c>
      <c r="G330" s="1" t="s">
        <v>90</v>
      </c>
      <c r="H330" s="1" t="s">
        <v>75</v>
      </c>
      <c r="I330">
        <v>2</v>
      </c>
      <c r="J330">
        <v>55</v>
      </c>
      <c r="K330">
        <v>0</v>
      </c>
      <c r="L330">
        <v>110</v>
      </c>
      <c r="M330" s="1" t="s">
        <v>20</v>
      </c>
    </row>
    <row r="331" spans="1:13" x14ac:dyDescent="0.3">
      <c r="A331" s="1" t="s">
        <v>88</v>
      </c>
      <c r="B331" s="2">
        <v>46037</v>
      </c>
      <c r="C331" s="1" t="s">
        <v>89</v>
      </c>
      <c r="D331" s="1" t="s">
        <v>61</v>
      </c>
      <c r="E331" s="1" t="s">
        <v>62</v>
      </c>
      <c r="F331" s="1" t="s">
        <v>40</v>
      </c>
      <c r="G331" s="1" t="s">
        <v>91</v>
      </c>
      <c r="H331" s="1" t="s">
        <v>83</v>
      </c>
      <c r="I331">
        <v>1</v>
      </c>
      <c r="J331">
        <v>160</v>
      </c>
      <c r="K331">
        <v>0.1</v>
      </c>
      <c r="L331">
        <v>144</v>
      </c>
      <c r="M331" s="1" t="s">
        <v>25</v>
      </c>
    </row>
    <row r="332" spans="1:13" x14ac:dyDescent="0.3">
      <c r="A332" s="1" t="s">
        <v>88</v>
      </c>
      <c r="B332" s="2">
        <v>46032</v>
      </c>
      <c r="C332" s="1" t="s">
        <v>89</v>
      </c>
      <c r="D332" s="1" t="s">
        <v>61</v>
      </c>
      <c r="E332" s="1" t="s">
        <v>62</v>
      </c>
      <c r="F332" s="1" t="s">
        <v>40</v>
      </c>
      <c r="G332" s="1" t="s">
        <v>91</v>
      </c>
      <c r="H332" s="1" t="s">
        <v>60</v>
      </c>
      <c r="I332">
        <v>3</v>
      </c>
      <c r="J332">
        <v>160</v>
      </c>
      <c r="K332">
        <v>0.15</v>
      </c>
      <c r="L332">
        <v>408</v>
      </c>
      <c r="M332" s="1" t="s">
        <v>20</v>
      </c>
    </row>
    <row r="333" spans="1:13" x14ac:dyDescent="0.3">
      <c r="A333" s="1" t="s">
        <v>88</v>
      </c>
      <c r="B333" s="2">
        <v>46026</v>
      </c>
      <c r="C333" s="1" t="s">
        <v>89</v>
      </c>
      <c r="D333" s="1" t="s">
        <v>21</v>
      </c>
      <c r="E333" s="1" t="s">
        <v>22</v>
      </c>
      <c r="F333" s="1" t="s">
        <v>23</v>
      </c>
      <c r="G333" s="1" t="s">
        <v>90</v>
      </c>
      <c r="H333" s="1" t="s">
        <v>46</v>
      </c>
      <c r="I333">
        <v>4</v>
      </c>
      <c r="J333">
        <v>220</v>
      </c>
      <c r="K333">
        <v>0.1</v>
      </c>
      <c r="L333">
        <v>792</v>
      </c>
      <c r="M333" s="1" t="s">
        <v>20</v>
      </c>
    </row>
    <row r="334" spans="1:13" x14ac:dyDescent="0.3">
      <c r="A334" s="1" t="s">
        <v>88</v>
      </c>
      <c r="B334" s="2">
        <v>46049</v>
      </c>
      <c r="C334" s="1" t="s">
        <v>89</v>
      </c>
      <c r="D334" s="1" t="s">
        <v>57</v>
      </c>
      <c r="E334" s="1" t="s">
        <v>58</v>
      </c>
      <c r="F334" s="1" t="s">
        <v>17</v>
      </c>
      <c r="G334" s="1" t="s">
        <v>91</v>
      </c>
      <c r="H334" s="1" t="s">
        <v>64</v>
      </c>
      <c r="I334">
        <v>3</v>
      </c>
      <c r="J334">
        <v>45</v>
      </c>
      <c r="K334">
        <v>0</v>
      </c>
      <c r="L334">
        <v>135</v>
      </c>
      <c r="M334" s="1" t="s">
        <v>25</v>
      </c>
    </row>
    <row r="335" spans="1:13" x14ac:dyDescent="0.3">
      <c r="A335" s="1" t="s">
        <v>88</v>
      </c>
      <c r="B335" s="2">
        <v>46051</v>
      </c>
      <c r="C335" s="1" t="s">
        <v>89</v>
      </c>
      <c r="D335" s="1" t="s">
        <v>15</v>
      </c>
      <c r="E335" s="1" t="s">
        <v>16</v>
      </c>
      <c r="F335" s="1" t="s">
        <v>17</v>
      </c>
      <c r="G335" s="1" t="s">
        <v>91</v>
      </c>
      <c r="H335" s="1" t="s">
        <v>77</v>
      </c>
      <c r="I335">
        <v>4</v>
      </c>
      <c r="J335">
        <v>60</v>
      </c>
      <c r="K335">
        <v>0.1</v>
      </c>
      <c r="L335">
        <v>216</v>
      </c>
      <c r="M335" s="1" t="s">
        <v>20</v>
      </c>
    </row>
    <row r="336" spans="1:13" x14ac:dyDescent="0.3">
      <c r="A336" s="1" t="s">
        <v>88</v>
      </c>
      <c r="B336" s="2">
        <v>46044</v>
      </c>
      <c r="C336" s="1" t="s">
        <v>89</v>
      </c>
      <c r="D336" s="1" t="s">
        <v>21</v>
      </c>
      <c r="E336" s="1" t="s">
        <v>22</v>
      </c>
      <c r="F336" s="1" t="s">
        <v>23</v>
      </c>
      <c r="G336" s="1" t="s">
        <v>90</v>
      </c>
      <c r="H336" s="1" t="s">
        <v>81</v>
      </c>
      <c r="I336">
        <v>2</v>
      </c>
      <c r="J336">
        <v>220</v>
      </c>
      <c r="K336">
        <v>0.05</v>
      </c>
      <c r="L336">
        <v>418</v>
      </c>
      <c r="M336" s="1" t="s">
        <v>25</v>
      </c>
    </row>
    <row r="337" spans="1:13" x14ac:dyDescent="0.3">
      <c r="A337" s="1" t="s">
        <v>88</v>
      </c>
      <c r="B337" s="2">
        <v>46034</v>
      </c>
      <c r="C337" s="1" t="s">
        <v>89</v>
      </c>
      <c r="D337" s="1" t="s">
        <v>34</v>
      </c>
      <c r="E337" s="1" t="s">
        <v>35</v>
      </c>
      <c r="F337" s="1" t="s">
        <v>28</v>
      </c>
      <c r="G337" s="1" t="s">
        <v>90</v>
      </c>
      <c r="H337" s="1" t="s">
        <v>32</v>
      </c>
      <c r="I337">
        <v>4</v>
      </c>
      <c r="J337">
        <v>120</v>
      </c>
      <c r="K337">
        <v>0</v>
      </c>
      <c r="L337">
        <v>480</v>
      </c>
      <c r="M337" s="1" t="s">
        <v>20</v>
      </c>
    </row>
    <row r="338" spans="1:13" x14ac:dyDescent="0.3">
      <c r="A338" s="1" t="s">
        <v>88</v>
      </c>
      <c r="B338" s="2">
        <v>46048</v>
      </c>
      <c r="C338" s="1" t="s">
        <v>89</v>
      </c>
      <c r="D338" s="1" t="s">
        <v>47</v>
      </c>
      <c r="E338" s="1" t="s">
        <v>48</v>
      </c>
      <c r="F338" s="1" t="s">
        <v>45</v>
      </c>
      <c r="G338" s="1" t="s">
        <v>91</v>
      </c>
      <c r="H338" s="1" t="s">
        <v>68</v>
      </c>
      <c r="I338">
        <v>2</v>
      </c>
      <c r="J338">
        <v>85</v>
      </c>
      <c r="K338">
        <v>0</v>
      </c>
      <c r="L338">
        <v>170</v>
      </c>
      <c r="M338" s="1" t="s">
        <v>20</v>
      </c>
    </row>
    <row r="339" spans="1:13" x14ac:dyDescent="0.3">
      <c r="A339" s="1" t="s">
        <v>88</v>
      </c>
      <c r="B339" s="2">
        <v>46053</v>
      </c>
      <c r="C339" s="1" t="s">
        <v>89</v>
      </c>
      <c r="D339" s="1" t="s">
        <v>72</v>
      </c>
      <c r="E339" s="1" t="s">
        <v>73</v>
      </c>
      <c r="F339" s="1" t="s">
        <v>17</v>
      </c>
      <c r="G339" s="1" t="s">
        <v>91</v>
      </c>
      <c r="H339" s="1" t="s">
        <v>32</v>
      </c>
      <c r="I339">
        <v>3</v>
      </c>
      <c r="J339">
        <v>170</v>
      </c>
      <c r="K339">
        <v>0.1</v>
      </c>
      <c r="L339">
        <v>459</v>
      </c>
      <c r="M339" s="1" t="s">
        <v>20</v>
      </c>
    </row>
    <row r="340" spans="1:13" x14ac:dyDescent="0.3">
      <c r="A340" s="1" t="s">
        <v>88</v>
      </c>
      <c r="B340" s="2">
        <v>46027</v>
      </c>
      <c r="C340" s="1" t="s">
        <v>89</v>
      </c>
      <c r="D340" s="1" t="s">
        <v>49</v>
      </c>
      <c r="E340" s="1" t="s">
        <v>50</v>
      </c>
      <c r="F340" s="1" t="s">
        <v>45</v>
      </c>
      <c r="G340" s="1" t="s">
        <v>90</v>
      </c>
      <c r="H340" s="1" t="s">
        <v>59</v>
      </c>
      <c r="I340">
        <v>4</v>
      </c>
      <c r="J340">
        <v>35</v>
      </c>
      <c r="K340">
        <v>0.15</v>
      </c>
      <c r="L340">
        <v>119</v>
      </c>
      <c r="M340" s="1" t="s">
        <v>37</v>
      </c>
    </row>
    <row r="341" spans="1:13" x14ac:dyDescent="0.3">
      <c r="A341" s="1" t="s">
        <v>88</v>
      </c>
      <c r="B341" s="2">
        <v>46048</v>
      </c>
      <c r="C341" s="1" t="s">
        <v>89</v>
      </c>
      <c r="D341" s="1" t="s">
        <v>57</v>
      </c>
      <c r="E341" s="1" t="s">
        <v>58</v>
      </c>
      <c r="F341" s="1" t="s">
        <v>17</v>
      </c>
      <c r="G341" s="1" t="s">
        <v>91</v>
      </c>
      <c r="H341" s="1" t="s">
        <v>87</v>
      </c>
      <c r="I341">
        <v>5</v>
      </c>
      <c r="J341">
        <v>45</v>
      </c>
      <c r="K341">
        <v>0</v>
      </c>
      <c r="L341">
        <v>225</v>
      </c>
      <c r="M341" s="1" t="s">
        <v>25</v>
      </c>
    </row>
    <row r="342" spans="1:13" x14ac:dyDescent="0.3">
      <c r="A342" s="1" t="s">
        <v>88</v>
      </c>
      <c r="B342" s="2">
        <v>46049</v>
      </c>
      <c r="C342" s="1" t="s">
        <v>89</v>
      </c>
      <c r="D342" s="1" t="s">
        <v>61</v>
      </c>
      <c r="E342" s="1" t="s">
        <v>62</v>
      </c>
      <c r="F342" s="1" t="s">
        <v>40</v>
      </c>
      <c r="G342" s="1" t="s">
        <v>91</v>
      </c>
      <c r="H342" s="1" t="s">
        <v>77</v>
      </c>
      <c r="I342">
        <v>3</v>
      </c>
      <c r="J342">
        <v>160</v>
      </c>
      <c r="K342">
        <v>0.05</v>
      </c>
      <c r="L342">
        <v>456</v>
      </c>
      <c r="M342" s="1" t="s">
        <v>37</v>
      </c>
    </row>
    <row r="343" spans="1:13" x14ac:dyDescent="0.3">
      <c r="A343" s="1" t="s">
        <v>88</v>
      </c>
      <c r="B343" s="2">
        <v>46042</v>
      </c>
      <c r="C343" s="1" t="s">
        <v>89</v>
      </c>
      <c r="D343" s="1" t="s">
        <v>30</v>
      </c>
      <c r="E343" s="1" t="s">
        <v>31</v>
      </c>
      <c r="F343" s="1" t="s">
        <v>23</v>
      </c>
      <c r="G343" s="1" t="s">
        <v>90</v>
      </c>
      <c r="H343" s="1" t="s">
        <v>75</v>
      </c>
      <c r="I343">
        <v>5</v>
      </c>
      <c r="J343">
        <v>2800</v>
      </c>
      <c r="K343">
        <v>0</v>
      </c>
      <c r="L343">
        <v>14000</v>
      </c>
      <c r="M343" s="1" t="s">
        <v>37</v>
      </c>
    </row>
    <row r="344" spans="1:13" x14ac:dyDescent="0.3">
      <c r="A344" s="1" t="s">
        <v>88</v>
      </c>
      <c r="B344" s="2">
        <v>46026</v>
      </c>
      <c r="C344" s="1" t="s">
        <v>89</v>
      </c>
      <c r="D344" s="1" t="s">
        <v>15</v>
      </c>
      <c r="E344" s="1" t="s">
        <v>16</v>
      </c>
      <c r="F344" s="1" t="s">
        <v>17</v>
      </c>
      <c r="G344" s="1" t="s">
        <v>90</v>
      </c>
      <c r="H344" s="1" t="s">
        <v>82</v>
      </c>
      <c r="I344">
        <v>3</v>
      </c>
      <c r="J344">
        <v>60</v>
      </c>
      <c r="K344">
        <v>0.05</v>
      </c>
      <c r="L344">
        <v>171</v>
      </c>
      <c r="M344" s="1" t="s">
        <v>20</v>
      </c>
    </row>
    <row r="345" spans="1:13" x14ac:dyDescent="0.3">
      <c r="A345" s="1" t="s">
        <v>88</v>
      </c>
      <c r="B345" s="2">
        <v>46051</v>
      </c>
      <c r="C345" s="1" t="s">
        <v>89</v>
      </c>
      <c r="D345" s="1" t="s">
        <v>57</v>
      </c>
      <c r="E345" s="1" t="s">
        <v>58</v>
      </c>
      <c r="F345" s="1" t="s">
        <v>17</v>
      </c>
      <c r="G345" s="1" t="s">
        <v>90</v>
      </c>
      <c r="H345" s="1" t="s">
        <v>46</v>
      </c>
      <c r="I345">
        <v>1</v>
      </c>
      <c r="J345">
        <v>45</v>
      </c>
      <c r="K345">
        <v>0</v>
      </c>
      <c r="L345">
        <v>45</v>
      </c>
      <c r="M345" s="1" t="s">
        <v>37</v>
      </c>
    </row>
    <row r="346" spans="1:13" x14ac:dyDescent="0.3">
      <c r="A346" s="1" t="s">
        <v>88</v>
      </c>
      <c r="B346" s="2">
        <v>46043</v>
      </c>
      <c r="C346" s="1" t="s">
        <v>89</v>
      </c>
      <c r="D346" s="1" t="s">
        <v>38</v>
      </c>
      <c r="E346" s="1" t="s">
        <v>39</v>
      </c>
      <c r="F346" s="1" t="s">
        <v>40</v>
      </c>
      <c r="G346" s="1" t="s">
        <v>90</v>
      </c>
      <c r="H346" s="1" t="s">
        <v>74</v>
      </c>
      <c r="I346">
        <v>2</v>
      </c>
      <c r="J346">
        <v>55</v>
      </c>
      <c r="K346">
        <v>0.1</v>
      </c>
      <c r="L346">
        <v>99</v>
      </c>
      <c r="M346" s="1" t="s">
        <v>37</v>
      </c>
    </row>
    <row r="347" spans="1:13" x14ac:dyDescent="0.3">
      <c r="A347" s="1" t="s">
        <v>88</v>
      </c>
      <c r="B347" s="2">
        <v>46034</v>
      </c>
      <c r="C347" s="1" t="s">
        <v>89</v>
      </c>
      <c r="D347" s="1" t="s">
        <v>57</v>
      </c>
      <c r="E347" s="1" t="s">
        <v>58</v>
      </c>
      <c r="F347" s="1" t="s">
        <v>17</v>
      </c>
      <c r="G347" s="1" t="s">
        <v>90</v>
      </c>
      <c r="H347" s="1" t="s">
        <v>77</v>
      </c>
      <c r="I347">
        <v>3</v>
      </c>
      <c r="J347">
        <v>45</v>
      </c>
      <c r="K347">
        <v>0</v>
      </c>
      <c r="L347">
        <v>135</v>
      </c>
      <c r="M347" s="1" t="s">
        <v>20</v>
      </c>
    </row>
    <row r="348" spans="1:13" x14ac:dyDescent="0.3">
      <c r="A348" s="1" t="s">
        <v>88</v>
      </c>
      <c r="B348" s="2">
        <v>46043</v>
      </c>
      <c r="C348" s="1" t="s">
        <v>89</v>
      </c>
      <c r="D348" s="1" t="s">
        <v>54</v>
      </c>
      <c r="E348" s="1" t="s">
        <v>55</v>
      </c>
      <c r="F348" s="1" t="s">
        <v>23</v>
      </c>
      <c r="G348" s="1" t="s">
        <v>91</v>
      </c>
      <c r="H348" s="1" t="s">
        <v>85</v>
      </c>
      <c r="I348">
        <v>3</v>
      </c>
      <c r="J348">
        <v>75</v>
      </c>
      <c r="K348">
        <v>0</v>
      </c>
      <c r="L348">
        <v>225</v>
      </c>
      <c r="M348" s="1" t="s">
        <v>33</v>
      </c>
    </row>
    <row r="349" spans="1:13" x14ac:dyDescent="0.3">
      <c r="A349" s="1" t="s">
        <v>88</v>
      </c>
      <c r="B349" s="2">
        <v>46029</v>
      </c>
      <c r="C349" s="1" t="s">
        <v>89</v>
      </c>
      <c r="D349" s="1" t="s">
        <v>57</v>
      </c>
      <c r="E349" s="1" t="s">
        <v>58</v>
      </c>
      <c r="F349" s="1" t="s">
        <v>17</v>
      </c>
      <c r="G349" s="1" t="s">
        <v>90</v>
      </c>
      <c r="H349" s="1" t="s">
        <v>53</v>
      </c>
      <c r="I349">
        <v>4</v>
      </c>
      <c r="J349">
        <v>45</v>
      </c>
      <c r="K349">
        <v>0</v>
      </c>
      <c r="L349">
        <v>180</v>
      </c>
      <c r="M349" s="1" t="s">
        <v>33</v>
      </c>
    </row>
    <row r="350" spans="1:13" x14ac:dyDescent="0.3">
      <c r="A350" s="1" t="s">
        <v>88</v>
      </c>
      <c r="B350" s="2">
        <v>46049</v>
      </c>
      <c r="C350" s="1" t="s">
        <v>89</v>
      </c>
      <c r="D350" s="1" t="s">
        <v>57</v>
      </c>
      <c r="E350" s="1" t="s">
        <v>58</v>
      </c>
      <c r="F350" s="1" t="s">
        <v>17</v>
      </c>
      <c r="G350" s="1" t="s">
        <v>90</v>
      </c>
      <c r="H350" s="1" t="s">
        <v>36</v>
      </c>
      <c r="I350">
        <v>5</v>
      </c>
      <c r="J350">
        <v>45</v>
      </c>
      <c r="K350">
        <v>0</v>
      </c>
      <c r="L350">
        <v>225</v>
      </c>
      <c r="M350" s="1" t="s">
        <v>33</v>
      </c>
    </row>
    <row r="351" spans="1:13" x14ac:dyDescent="0.3">
      <c r="A351" s="1" t="s">
        <v>88</v>
      </c>
      <c r="B351" s="2">
        <v>46042</v>
      </c>
      <c r="C351" s="1" t="s">
        <v>89</v>
      </c>
      <c r="D351" s="1" t="s">
        <v>34</v>
      </c>
      <c r="E351" s="1" t="s">
        <v>35</v>
      </c>
      <c r="F351" s="1" t="s">
        <v>28</v>
      </c>
      <c r="G351" s="1" t="s">
        <v>90</v>
      </c>
      <c r="H351" s="1" t="s">
        <v>24</v>
      </c>
      <c r="I351">
        <v>2</v>
      </c>
      <c r="J351">
        <v>120</v>
      </c>
      <c r="K351">
        <v>0.05</v>
      </c>
      <c r="L351">
        <v>228</v>
      </c>
      <c r="M351" s="1" t="s">
        <v>33</v>
      </c>
    </row>
    <row r="352" spans="1:13" x14ac:dyDescent="0.3">
      <c r="A352" s="1" t="s">
        <v>88</v>
      </c>
      <c r="B352" s="2">
        <v>46050</v>
      </c>
      <c r="C352" s="1" t="s">
        <v>89</v>
      </c>
      <c r="D352" s="1" t="s">
        <v>65</v>
      </c>
      <c r="E352" s="1" t="s">
        <v>66</v>
      </c>
      <c r="F352" s="1" t="s">
        <v>40</v>
      </c>
      <c r="G352" s="1" t="s">
        <v>90</v>
      </c>
      <c r="H352" s="1" t="s">
        <v>46</v>
      </c>
      <c r="I352">
        <v>2</v>
      </c>
      <c r="J352">
        <v>210</v>
      </c>
      <c r="K352">
        <v>0</v>
      </c>
      <c r="L352">
        <v>420</v>
      </c>
      <c r="M352" s="1" t="s">
        <v>33</v>
      </c>
    </row>
    <row r="353" spans="1:13" x14ac:dyDescent="0.3">
      <c r="A353" s="1" t="s">
        <v>88</v>
      </c>
      <c r="B353" s="2">
        <v>46024</v>
      </c>
      <c r="C353" s="1" t="s">
        <v>89</v>
      </c>
      <c r="D353" s="1" t="s">
        <v>38</v>
      </c>
      <c r="E353" s="1" t="s">
        <v>39</v>
      </c>
      <c r="F353" s="1" t="s">
        <v>40</v>
      </c>
      <c r="G353" s="1" t="s">
        <v>90</v>
      </c>
      <c r="H353" s="1" t="s">
        <v>71</v>
      </c>
      <c r="I353">
        <v>1</v>
      </c>
      <c r="J353">
        <v>55</v>
      </c>
      <c r="K353">
        <v>0</v>
      </c>
      <c r="L353">
        <v>55</v>
      </c>
      <c r="M353" s="1" t="s">
        <v>25</v>
      </c>
    </row>
    <row r="354" spans="1:13" x14ac:dyDescent="0.3">
      <c r="A354" s="1" t="s">
        <v>88</v>
      </c>
      <c r="B354" s="2">
        <v>46034</v>
      </c>
      <c r="C354" s="1" t="s">
        <v>89</v>
      </c>
      <c r="D354" s="1" t="s">
        <v>47</v>
      </c>
      <c r="E354" s="1" t="s">
        <v>48</v>
      </c>
      <c r="F354" s="1" t="s">
        <v>45</v>
      </c>
      <c r="G354" s="1" t="s">
        <v>90</v>
      </c>
      <c r="H354" s="1" t="s">
        <v>77</v>
      </c>
      <c r="I354">
        <v>4</v>
      </c>
      <c r="J354">
        <v>85</v>
      </c>
      <c r="K354">
        <v>0</v>
      </c>
      <c r="L354">
        <v>340</v>
      </c>
      <c r="M354" s="1" t="s">
        <v>25</v>
      </c>
    </row>
    <row r="355" spans="1:13" x14ac:dyDescent="0.3">
      <c r="A355" s="1" t="s">
        <v>88</v>
      </c>
      <c r="B355" s="2">
        <v>46043</v>
      </c>
      <c r="C355" s="1" t="s">
        <v>89</v>
      </c>
      <c r="D355" s="1" t="s">
        <v>47</v>
      </c>
      <c r="E355" s="1" t="s">
        <v>48</v>
      </c>
      <c r="F355" s="1" t="s">
        <v>45</v>
      </c>
      <c r="G355" s="1" t="s">
        <v>90</v>
      </c>
      <c r="H355" s="1" t="s">
        <v>42</v>
      </c>
      <c r="I355">
        <v>5</v>
      </c>
      <c r="J355">
        <v>85</v>
      </c>
      <c r="K355">
        <v>0</v>
      </c>
      <c r="L355">
        <v>425</v>
      </c>
      <c r="M355" s="1" t="s">
        <v>37</v>
      </c>
    </row>
    <row r="356" spans="1:13" x14ac:dyDescent="0.3">
      <c r="A356" s="1" t="s">
        <v>88</v>
      </c>
      <c r="B356" s="2">
        <v>46052</v>
      </c>
      <c r="C356" s="1" t="s">
        <v>89</v>
      </c>
      <c r="D356" s="1" t="s">
        <v>61</v>
      </c>
      <c r="E356" s="1" t="s">
        <v>62</v>
      </c>
      <c r="F356" s="1" t="s">
        <v>40</v>
      </c>
      <c r="G356" s="1" t="s">
        <v>91</v>
      </c>
      <c r="H356" s="1" t="s">
        <v>19</v>
      </c>
      <c r="I356">
        <v>1</v>
      </c>
      <c r="J356">
        <v>160</v>
      </c>
      <c r="K356">
        <v>0</v>
      </c>
      <c r="L356">
        <v>160</v>
      </c>
      <c r="M356" s="1" t="s">
        <v>20</v>
      </c>
    </row>
    <row r="357" spans="1:13" x14ac:dyDescent="0.3">
      <c r="A357" s="1" t="s">
        <v>88</v>
      </c>
      <c r="B357" s="2">
        <v>46042</v>
      </c>
      <c r="C357" s="1" t="s">
        <v>89</v>
      </c>
      <c r="D357" s="1" t="s">
        <v>38</v>
      </c>
      <c r="E357" s="1" t="s">
        <v>39</v>
      </c>
      <c r="F357" s="1" t="s">
        <v>40</v>
      </c>
      <c r="G357" s="1" t="s">
        <v>91</v>
      </c>
      <c r="H357" s="1" t="s">
        <v>74</v>
      </c>
      <c r="I357">
        <v>1</v>
      </c>
      <c r="J357">
        <v>55</v>
      </c>
      <c r="K357">
        <v>0</v>
      </c>
      <c r="L357">
        <v>55</v>
      </c>
      <c r="M357" s="1" t="s">
        <v>20</v>
      </c>
    </row>
    <row r="358" spans="1:13" x14ac:dyDescent="0.3">
      <c r="A358" s="1" t="s">
        <v>88</v>
      </c>
      <c r="B358" s="2">
        <v>46048</v>
      </c>
      <c r="C358" s="1" t="s">
        <v>89</v>
      </c>
      <c r="D358" s="1" t="s">
        <v>61</v>
      </c>
      <c r="E358" s="1" t="s">
        <v>62</v>
      </c>
      <c r="F358" s="1" t="s">
        <v>40</v>
      </c>
      <c r="G358" s="1" t="s">
        <v>90</v>
      </c>
      <c r="H358" s="1" t="s">
        <v>75</v>
      </c>
      <c r="I358">
        <v>5</v>
      </c>
      <c r="J358">
        <v>160</v>
      </c>
      <c r="K358">
        <v>0</v>
      </c>
      <c r="L358">
        <v>800</v>
      </c>
      <c r="M358" s="1" t="s">
        <v>33</v>
      </c>
    </row>
    <row r="359" spans="1:13" x14ac:dyDescent="0.3">
      <c r="A359" s="1" t="s">
        <v>88</v>
      </c>
      <c r="B359" s="2">
        <v>46049</v>
      </c>
      <c r="C359" s="1" t="s">
        <v>89</v>
      </c>
      <c r="D359" s="1" t="s">
        <v>61</v>
      </c>
      <c r="E359" s="1" t="s">
        <v>62</v>
      </c>
      <c r="F359" s="1" t="s">
        <v>40</v>
      </c>
      <c r="G359" s="1" t="s">
        <v>91</v>
      </c>
      <c r="H359" s="1" t="s">
        <v>59</v>
      </c>
      <c r="I359">
        <v>2</v>
      </c>
      <c r="J359">
        <v>160</v>
      </c>
      <c r="K359">
        <v>0</v>
      </c>
      <c r="L359">
        <v>320</v>
      </c>
      <c r="M359" s="1" t="s">
        <v>25</v>
      </c>
    </row>
    <row r="360" spans="1:13" x14ac:dyDescent="0.3">
      <c r="A360" s="1" t="s">
        <v>88</v>
      </c>
      <c r="B360" s="2">
        <v>46034</v>
      </c>
      <c r="C360" s="1" t="s">
        <v>89</v>
      </c>
      <c r="D360" s="1" t="s">
        <v>34</v>
      </c>
      <c r="E360" s="1" t="s">
        <v>35</v>
      </c>
      <c r="F360" s="1" t="s">
        <v>28</v>
      </c>
      <c r="G360" s="1" t="s">
        <v>90</v>
      </c>
      <c r="H360" s="1" t="s">
        <v>42</v>
      </c>
      <c r="I360">
        <v>3</v>
      </c>
      <c r="J360">
        <v>120</v>
      </c>
      <c r="K360">
        <v>0.05</v>
      </c>
      <c r="L360">
        <v>342</v>
      </c>
      <c r="M360" s="1" t="s">
        <v>25</v>
      </c>
    </row>
    <row r="361" spans="1:13" x14ac:dyDescent="0.3">
      <c r="A361" s="1" t="s">
        <v>88</v>
      </c>
      <c r="B361" s="2">
        <v>46026</v>
      </c>
      <c r="C361" s="1" t="s">
        <v>89</v>
      </c>
      <c r="D361" s="1" t="s">
        <v>54</v>
      </c>
      <c r="E361" s="1" t="s">
        <v>55</v>
      </c>
      <c r="F361" s="1" t="s">
        <v>23</v>
      </c>
      <c r="G361" s="1" t="s">
        <v>91</v>
      </c>
      <c r="H361" s="1" t="s">
        <v>52</v>
      </c>
      <c r="I361">
        <v>1</v>
      </c>
      <c r="J361">
        <v>75</v>
      </c>
      <c r="K361">
        <v>0</v>
      </c>
      <c r="L361">
        <v>75</v>
      </c>
      <c r="M361" s="1" t="s">
        <v>25</v>
      </c>
    </row>
    <row r="362" spans="1:13" x14ac:dyDescent="0.3">
      <c r="A362" s="1" t="s">
        <v>88</v>
      </c>
      <c r="B362" s="2">
        <v>46044</v>
      </c>
      <c r="C362" s="1" t="s">
        <v>89</v>
      </c>
      <c r="D362" s="1" t="s">
        <v>38</v>
      </c>
      <c r="E362" s="1" t="s">
        <v>39</v>
      </c>
      <c r="F362" s="1" t="s">
        <v>40</v>
      </c>
      <c r="G362" s="1" t="s">
        <v>90</v>
      </c>
      <c r="H362" s="1" t="s">
        <v>84</v>
      </c>
      <c r="I362">
        <v>5</v>
      </c>
      <c r="J362">
        <v>55</v>
      </c>
      <c r="K362">
        <v>0.05</v>
      </c>
      <c r="L362">
        <v>261.25</v>
      </c>
      <c r="M362" s="1" t="s">
        <v>37</v>
      </c>
    </row>
    <row r="363" spans="1:13" x14ac:dyDescent="0.3">
      <c r="A363" s="1" t="s">
        <v>88</v>
      </c>
      <c r="B363" s="2">
        <v>46042</v>
      </c>
      <c r="C363" s="1" t="s">
        <v>89</v>
      </c>
      <c r="D363" s="1" t="s">
        <v>72</v>
      </c>
      <c r="E363" s="1" t="s">
        <v>73</v>
      </c>
      <c r="F363" s="1" t="s">
        <v>17</v>
      </c>
      <c r="G363" s="1" t="s">
        <v>91</v>
      </c>
      <c r="H363" s="1" t="s">
        <v>64</v>
      </c>
      <c r="I363">
        <v>1</v>
      </c>
      <c r="J363">
        <v>170</v>
      </c>
      <c r="K363">
        <v>0.15</v>
      </c>
      <c r="L363">
        <v>144.5</v>
      </c>
      <c r="M363" s="1" t="s">
        <v>33</v>
      </c>
    </row>
    <row r="364" spans="1:13" x14ac:dyDescent="0.3">
      <c r="A364" s="1" t="s">
        <v>88</v>
      </c>
      <c r="B364" s="2">
        <v>46026</v>
      </c>
      <c r="C364" s="1" t="s">
        <v>89</v>
      </c>
      <c r="D364" s="1" t="s">
        <v>54</v>
      </c>
      <c r="E364" s="1" t="s">
        <v>55</v>
      </c>
      <c r="F364" s="1" t="s">
        <v>23</v>
      </c>
      <c r="G364" s="1" t="s">
        <v>91</v>
      </c>
      <c r="H364" s="1" t="s">
        <v>46</v>
      </c>
      <c r="I364">
        <v>4</v>
      </c>
      <c r="J364">
        <v>75</v>
      </c>
      <c r="K364">
        <v>0</v>
      </c>
      <c r="L364">
        <v>300</v>
      </c>
      <c r="M364" s="1" t="s">
        <v>25</v>
      </c>
    </row>
    <row r="365" spans="1:13" x14ac:dyDescent="0.3">
      <c r="A365" s="1" t="s">
        <v>88</v>
      </c>
      <c r="B365" s="2">
        <v>46036</v>
      </c>
      <c r="C365" s="1" t="s">
        <v>89</v>
      </c>
      <c r="D365" s="1" t="s">
        <v>49</v>
      </c>
      <c r="E365" s="1" t="s">
        <v>50</v>
      </c>
      <c r="F365" s="1" t="s">
        <v>45</v>
      </c>
      <c r="G365" s="1" t="s">
        <v>90</v>
      </c>
      <c r="H365" s="1" t="s">
        <v>79</v>
      </c>
      <c r="I365">
        <v>5</v>
      </c>
      <c r="J365">
        <v>35</v>
      </c>
      <c r="K365">
        <v>0</v>
      </c>
      <c r="L365">
        <v>175</v>
      </c>
      <c r="M365" s="1" t="s">
        <v>20</v>
      </c>
    </row>
    <row r="366" spans="1:13" x14ac:dyDescent="0.3">
      <c r="A366" s="1" t="s">
        <v>88</v>
      </c>
      <c r="B366" s="2">
        <v>46032</v>
      </c>
      <c r="C366" s="1" t="s">
        <v>89</v>
      </c>
      <c r="D366" s="1" t="s">
        <v>30</v>
      </c>
      <c r="E366" s="1" t="s">
        <v>31</v>
      </c>
      <c r="F366" s="1" t="s">
        <v>23</v>
      </c>
      <c r="G366" s="1" t="s">
        <v>91</v>
      </c>
      <c r="H366" s="1" t="s">
        <v>83</v>
      </c>
      <c r="I366">
        <v>3</v>
      </c>
      <c r="J366">
        <v>2800</v>
      </c>
      <c r="K366">
        <v>0.05</v>
      </c>
      <c r="L366">
        <v>7980</v>
      </c>
      <c r="M366" s="1" t="s">
        <v>33</v>
      </c>
    </row>
    <row r="367" spans="1:13" x14ac:dyDescent="0.3">
      <c r="A367" s="1" t="s">
        <v>88</v>
      </c>
      <c r="B367" s="2">
        <v>46046</v>
      </c>
      <c r="C367" s="1" t="s">
        <v>89</v>
      </c>
      <c r="D367" s="1" t="s">
        <v>38</v>
      </c>
      <c r="E367" s="1" t="s">
        <v>39</v>
      </c>
      <c r="F367" s="1" t="s">
        <v>40</v>
      </c>
      <c r="G367" s="1" t="s">
        <v>90</v>
      </c>
      <c r="H367" s="1" t="s">
        <v>71</v>
      </c>
      <c r="I367">
        <v>4</v>
      </c>
      <c r="J367">
        <v>55</v>
      </c>
      <c r="K367">
        <v>0</v>
      </c>
      <c r="L367">
        <v>220</v>
      </c>
      <c r="M367" s="1" t="s">
        <v>33</v>
      </c>
    </row>
    <row r="368" spans="1:13" x14ac:dyDescent="0.3">
      <c r="A368" s="1" t="s">
        <v>88</v>
      </c>
      <c r="B368" s="2">
        <v>46034</v>
      </c>
      <c r="C368" s="1" t="s">
        <v>89</v>
      </c>
      <c r="D368" s="1" t="s">
        <v>69</v>
      </c>
      <c r="E368" s="1" t="s">
        <v>70</v>
      </c>
      <c r="F368" s="1" t="s">
        <v>28</v>
      </c>
      <c r="G368" s="1" t="s">
        <v>91</v>
      </c>
      <c r="H368" s="1" t="s">
        <v>80</v>
      </c>
      <c r="I368">
        <v>4</v>
      </c>
      <c r="J368">
        <v>95</v>
      </c>
      <c r="K368">
        <v>0</v>
      </c>
      <c r="L368">
        <v>380</v>
      </c>
      <c r="M368" s="1" t="s">
        <v>25</v>
      </c>
    </row>
    <row r="369" spans="1:13" x14ac:dyDescent="0.3">
      <c r="A369" s="1" t="s">
        <v>88</v>
      </c>
      <c r="B369" s="2">
        <v>46042</v>
      </c>
      <c r="C369" s="1" t="s">
        <v>89</v>
      </c>
      <c r="D369" s="1" t="s">
        <v>15</v>
      </c>
      <c r="E369" s="1" t="s">
        <v>16</v>
      </c>
      <c r="F369" s="1" t="s">
        <v>17</v>
      </c>
      <c r="G369" s="1" t="s">
        <v>90</v>
      </c>
      <c r="H369" s="1" t="s">
        <v>85</v>
      </c>
      <c r="I369">
        <v>2</v>
      </c>
      <c r="J369">
        <v>60</v>
      </c>
      <c r="K369">
        <v>0</v>
      </c>
      <c r="L369">
        <v>120</v>
      </c>
      <c r="M369" s="1" t="s">
        <v>37</v>
      </c>
    </row>
    <row r="370" spans="1:13" x14ac:dyDescent="0.3">
      <c r="A370" s="1" t="s">
        <v>88</v>
      </c>
      <c r="B370" s="2">
        <v>46036</v>
      </c>
      <c r="C370" s="1" t="s">
        <v>89</v>
      </c>
      <c r="D370" s="1" t="s">
        <v>43</v>
      </c>
      <c r="E370" s="1" t="s">
        <v>44</v>
      </c>
      <c r="F370" s="1" t="s">
        <v>45</v>
      </c>
      <c r="G370" s="1" t="s">
        <v>91</v>
      </c>
      <c r="H370" s="1" t="s">
        <v>71</v>
      </c>
      <c r="I370">
        <v>4</v>
      </c>
      <c r="J370">
        <v>140</v>
      </c>
      <c r="K370">
        <v>0.05</v>
      </c>
      <c r="L370">
        <v>532</v>
      </c>
      <c r="M370" s="1" t="s">
        <v>25</v>
      </c>
    </row>
    <row r="371" spans="1:13" x14ac:dyDescent="0.3">
      <c r="A371" s="1" t="s">
        <v>88</v>
      </c>
      <c r="B371" s="2">
        <v>46044</v>
      </c>
      <c r="C371" s="1" t="s">
        <v>89</v>
      </c>
      <c r="D371" s="1" t="s">
        <v>69</v>
      </c>
      <c r="E371" s="1" t="s">
        <v>70</v>
      </c>
      <c r="F371" s="1" t="s">
        <v>28</v>
      </c>
      <c r="G371" s="1" t="s">
        <v>91</v>
      </c>
      <c r="H371" s="1" t="s">
        <v>32</v>
      </c>
      <c r="I371">
        <v>1</v>
      </c>
      <c r="J371">
        <v>95</v>
      </c>
      <c r="K371">
        <v>0</v>
      </c>
      <c r="L371">
        <v>95</v>
      </c>
      <c r="M371" s="1" t="s">
        <v>25</v>
      </c>
    </row>
    <row r="372" spans="1:13" x14ac:dyDescent="0.3">
      <c r="A372" s="1" t="s">
        <v>88</v>
      </c>
      <c r="B372" s="2">
        <v>46029</v>
      </c>
      <c r="C372" s="1" t="s">
        <v>89</v>
      </c>
      <c r="D372" s="1" t="s">
        <v>21</v>
      </c>
      <c r="E372" s="1" t="s">
        <v>22</v>
      </c>
      <c r="F372" s="1" t="s">
        <v>23</v>
      </c>
      <c r="G372" s="1" t="s">
        <v>91</v>
      </c>
      <c r="H372" s="1" t="s">
        <v>80</v>
      </c>
      <c r="I372">
        <v>5</v>
      </c>
      <c r="J372">
        <v>220</v>
      </c>
      <c r="K372">
        <v>0</v>
      </c>
      <c r="L372">
        <v>1100</v>
      </c>
      <c r="M372" s="1" t="s">
        <v>33</v>
      </c>
    </row>
    <row r="373" spans="1:13" x14ac:dyDescent="0.3">
      <c r="A373" s="1" t="s">
        <v>88</v>
      </c>
      <c r="B373" s="2">
        <v>46023</v>
      </c>
      <c r="C373" s="1" t="s">
        <v>89</v>
      </c>
      <c r="D373" s="1" t="s">
        <v>49</v>
      </c>
      <c r="E373" s="1" t="s">
        <v>50</v>
      </c>
      <c r="F373" s="1" t="s">
        <v>45</v>
      </c>
      <c r="G373" s="1" t="s">
        <v>91</v>
      </c>
      <c r="H373" s="1" t="s">
        <v>83</v>
      </c>
      <c r="I373">
        <v>3</v>
      </c>
      <c r="J373">
        <v>35</v>
      </c>
      <c r="K373">
        <v>0</v>
      </c>
      <c r="L373">
        <v>105</v>
      </c>
      <c r="M373" s="1" t="s">
        <v>33</v>
      </c>
    </row>
    <row r="374" spans="1:13" x14ac:dyDescent="0.3">
      <c r="A374" s="1" t="s">
        <v>88</v>
      </c>
      <c r="B374" s="2">
        <v>46049</v>
      </c>
      <c r="C374" s="1" t="s">
        <v>89</v>
      </c>
      <c r="D374" s="1" t="s">
        <v>69</v>
      </c>
      <c r="E374" s="1" t="s">
        <v>70</v>
      </c>
      <c r="F374" s="1" t="s">
        <v>28</v>
      </c>
      <c r="G374" s="1" t="s">
        <v>91</v>
      </c>
      <c r="H374" s="1" t="s">
        <v>84</v>
      </c>
      <c r="I374">
        <v>2</v>
      </c>
      <c r="J374">
        <v>95</v>
      </c>
      <c r="K374">
        <v>0</v>
      </c>
      <c r="L374">
        <v>190</v>
      </c>
      <c r="M374" s="1" t="s">
        <v>25</v>
      </c>
    </row>
    <row r="375" spans="1:13" x14ac:dyDescent="0.3">
      <c r="A375" s="1" t="s">
        <v>88</v>
      </c>
      <c r="B375" s="2">
        <v>46050</v>
      </c>
      <c r="C375" s="1" t="s">
        <v>89</v>
      </c>
      <c r="D375" s="1" t="s">
        <v>61</v>
      </c>
      <c r="E375" s="1" t="s">
        <v>62</v>
      </c>
      <c r="F375" s="1" t="s">
        <v>40</v>
      </c>
      <c r="G375" s="1" t="s">
        <v>91</v>
      </c>
      <c r="H375" s="1" t="s">
        <v>64</v>
      </c>
      <c r="I375">
        <v>4</v>
      </c>
      <c r="J375">
        <v>160</v>
      </c>
      <c r="K375">
        <v>0.1</v>
      </c>
      <c r="L375">
        <v>576</v>
      </c>
      <c r="M375" s="1" t="s">
        <v>37</v>
      </c>
    </row>
    <row r="376" spans="1:13" x14ac:dyDescent="0.3">
      <c r="A376" s="1" t="s">
        <v>88</v>
      </c>
      <c r="B376" s="2">
        <v>46035</v>
      </c>
      <c r="C376" s="1" t="s">
        <v>89</v>
      </c>
      <c r="D376" s="1" t="s">
        <v>47</v>
      </c>
      <c r="E376" s="1" t="s">
        <v>48</v>
      </c>
      <c r="F376" s="1" t="s">
        <v>45</v>
      </c>
      <c r="G376" s="1" t="s">
        <v>90</v>
      </c>
      <c r="H376" s="1" t="s">
        <v>83</v>
      </c>
      <c r="I376">
        <v>4</v>
      </c>
      <c r="J376">
        <v>85</v>
      </c>
      <c r="K376">
        <v>0</v>
      </c>
      <c r="L376">
        <v>340</v>
      </c>
      <c r="M376" s="1" t="s">
        <v>37</v>
      </c>
    </row>
    <row r="377" spans="1:13" x14ac:dyDescent="0.3">
      <c r="A377" s="1" t="s">
        <v>88</v>
      </c>
      <c r="B377" s="2">
        <v>46050</v>
      </c>
      <c r="C377" s="1" t="s">
        <v>89</v>
      </c>
      <c r="D377" s="1" t="s">
        <v>72</v>
      </c>
      <c r="E377" s="1" t="s">
        <v>73</v>
      </c>
      <c r="F377" s="1" t="s">
        <v>17</v>
      </c>
      <c r="G377" s="1" t="s">
        <v>90</v>
      </c>
      <c r="H377" s="1" t="s">
        <v>64</v>
      </c>
      <c r="I377">
        <v>3</v>
      </c>
      <c r="J377">
        <v>170</v>
      </c>
      <c r="K377">
        <v>0</v>
      </c>
      <c r="L377">
        <v>510</v>
      </c>
      <c r="M377" s="1" t="s">
        <v>37</v>
      </c>
    </row>
    <row r="378" spans="1:13" x14ac:dyDescent="0.3">
      <c r="A378" s="1" t="s">
        <v>88</v>
      </c>
      <c r="B378" s="2">
        <v>46046</v>
      </c>
      <c r="C378" s="1" t="s">
        <v>89</v>
      </c>
      <c r="D378" s="1" t="s">
        <v>65</v>
      </c>
      <c r="E378" s="1" t="s">
        <v>66</v>
      </c>
      <c r="F378" s="1" t="s">
        <v>40</v>
      </c>
      <c r="G378" s="1" t="s">
        <v>91</v>
      </c>
      <c r="H378" s="1" t="s">
        <v>80</v>
      </c>
      <c r="I378">
        <v>4</v>
      </c>
      <c r="J378">
        <v>210</v>
      </c>
      <c r="K378">
        <v>0.1</v>
      </c>
      <c r="L378">
        <v>756</v>
      </c>
      <c r="M378" s="1" t="s">
        <v>33</v>
      </c>
    </row>
    <row r="379" spans="1:13" x14ac:dyDescent="0.3">
      <c r="A379" s="1" t="s">
        <v>88</v>
      </c>
      <c r="B379" s="2">
        <v>46029</v>
      </c>
      <c r="C379" s="1" t="s">
        <v>89</v>
      </c>
      <c r="D379" s="1" t="s">
        <v>30</v>
      </c>
      <c r="E379" s="1" t="s">
        <v>31</v>
      </c>
      <c r="F379" s="1" t="s">
        <v>23</v>
      </c>
      <c r="G379" s="1" t="s">
        <v>91</v>
      </c>
      <c r="H379" s="1" t="s">
        <v>36</v>
      </c>
      <c r="I379">
        <v>1</v>
      </c>
      <c r="J379">
        <v>2800</v>
      </c>
      <c r="K379">
        <v>0</v>
      </c>
      <c r="L379">
        <v>2800</v>
      </c>
      <c r="M379" s="1" t="s">
        <v>33</v>
      </c>
    </row>
    <row r="380" spans="1:13" x14ac:dyDescent="0.3">
      <c r="A380" s="1" t="s">
        <v>88</v>
      </c>
      <c r="B380" s="2">
        <v>46028</v>
      </c>
      <c r="C380" s="1" t="s">
        <v>89</v>
      </c>
      <c r="D380" s="1" t="s">
        <v>26</v>
      </c>
      <c r="E380" s="1" t="s">
        <v>27</v>
      </c>
      <c r="F380" s="1" t="s">
        <v>28</v>
      </c>
      <c r="G380" s="1" t="s">
        <v>90</v>
      </c>
      <c r="H380" s="1" t="s">
        <v>75</v>
      </c>
      <c r="I380">
        <v>2</v>
      </c>
      <c r="J380">
        <v>180</v>
      </c>
      <c r="K380">
        <v>0</v>
      </c>
      <c r="L380">
        <v>360</v>
      </c>
      <c r="M380" s="1" t="s">
        <v>25</v>
      </c>
    </row>
    <row r="381" spans="1:13" x14ac:dyDescent="0.3">
      <c r="A381" s="1" t="s">
        <v>88</v>
      </c>
      <c r="B381" s="2">
        <v>46041</v>
      </c>
      <c r="C381" s="1" t="s">
        <v>89</v>
      </c>
      <c r="D381" s="1" t="s">
        <v>21</v>
      </c>
      <c r="E381" s="1" t="s">
        <v>22</v>
      </c>
      <c r="F381" s="1" t="s">
        <v>23</v>
      </c>
      <c r="G381" s="1" t="s">
        <v>91</v>
      </c>
      <c r="H381" s="1" t="s">
        <v>81</v>
      </c>
      <c r="I381">
        <v>4</v>
      </c>
      <c r="J381">
        <v>220</v>
      </c>
      <c r="K381">
        <v>0</v>
      </c>
      <c r="L381">
        <v>880</v>
      </c>
      <c r="M381" s="1" t="s">
        <v>20</v>
      </c>
    </row>
    <row r="382" spans="1:13" x14ac:dyDescent="0.3">
      <c r="A382" s="1" t="s">
        <v>88</v>
      </c>
      <c r="B382" s="2">
        <v>46025</v>
      </c>
      <c r="C382" s="1" t="s">
        <v>89</v>
      </c>
      <c r="D382" s="1" t="s">
        <v>72</v>
      </c>
      <c r="E382" s="1" t="s">
        <v>73</v>
      </c>
      <c r="F382" s="1" t="s">
        <v>17</v>
      </c>
      <c r="G382" s="1" t="s">
        <v>91</v>
      </c>
      <c r="H382" s="1" t="s">
        <v>32</v>
      </c>
      <c r="I382">
        <v>3</v>
      </c>
      <c r="J382">
        <v>170</v>
      </c>
      <c r="K382">
        <v>0</v>
      </c>
      <c r="L382">
        <v>510</v>
      </c>
      <c r="M382" s="1" t="s">
        <v>20</v>
      </c>
    </row>
    <row r="383" spans="1:13" x14ac:dyDescent="0.3">
      <c r="A383" s="1" t="s">
        <v>88</v>
      </c>
      <c r="B383" s="2">
        <v>46032</v>
      </c>
      <c r="C383" s="1" t="s">
        <v>89</v>
      </c>
      <c r="D383" s="1" t="s">
        <v>38</v>
      </c>
      <c r="E383" s="1" t="s">
        <v>39</v>
      </c>
      <c r="F383" s="1" t="s">
        <v>40</v>
      </c>
      <c r="G383" s="1" t="s">
        <v>91</v>
      </c>
      <c r="H383" s="1" t="s">
        <v>82</v>
      </c>
      <c r="I383">
        <v>3</v>
      </c>
      <c r="J383">
        <v>55</v>
      </c>
      <c r="K383">
        <v>0</v>
      </c>
      <c r="L383">
        <v>165</v>
      </c>
      <c r="M383" s="1" t="s">
        <v>20</v>
      </c>
    </row>
    <row r="384" spans="1:13" x14ac:dyDescent="0.3">
      <c r="A384" s="1" t="s">
        <v>88</v>
      </c>
      <c r="B384" s="2">
        <v>46050</v>
      </c>
      <c r="C384" s="1" t="s">
        <v>89</v>
      </c>
      <c r="D384" s="1" t="s">
        <v>72</v>
      </c>
      <c r="E384" s="1" t="s">
        <v>73</v>
      </c>
      <c r="F384" s="1" t="s">
        <v>17</v>
      </c>
      <c r="G384" s="1" t="s">
        <v>90</v>
      </c>
      <c r="H384" s="1" t="s">
        <v>71</v>
      </c>
      <c r="I384">
        <v>1</v>
      </c>
      <c r="J384">
        <v>170</v>
      </c>
      <c r="K384">
        <v>0.05</v>
      </c>
      <c r="L384">
        <v>161.5</v>
      </c>
      <c r="M384" s="1" t="s">
        <v>37</v>
      </c>
    </row>
    <row r="385" spans="1:13" x14ac:dyDescent="0.3">
      <c r="A385" s="1" t="s">
        <v>88</v>
      </c>
      <c r="B385" s="2">
        <v>46046</v>
      </c>
      <c r="C385" s="1" t="s">
        <v>89</v>
      </c>
      <c r="D385" s="1" t="s">
        <v>61</v>
      </c>
      <c r="E385" s="1" t="s">
        <v>62</v>
      </c>
      <c r="F385" s="1" t="s">
        <v>40</v>
      </c>
      <c r="G385" s="1" t="s">
        <v>90</v>
      </c>
      <c r="H385" s="1" t="s">
        <v>63</v>
      </c>
      <c r="I385">
        <v>5</v>
      </c>
      <c r="J385">
        <v>160</v>
      </c>
      <c r="K385">
        <v>0.15</v>
      </c>
      <c r="L385">
        <v>680</v>
      </c>
      <c r="M385" s="1" t="s">
        <v>33</v>
      </c>
    </row>
    <row r="386" spans="1:13" x14ac:dyDescent="0.3">
      <c r="A386" s="1" t="s">
        <v>88</v>
      </c>
      <c r="B386" s="2">
        <v>46053</v>
      </c>
      <c r="C386" s="1" t="s">
        <v>89</v>
      </c>
      <c r="D386" s="1" t="s">
        <v>34</v>
      </c>
      <c r="E386" s="1" t="s">
        <v>35</v>
      </c>
      <c r="F386" s="1" t="s">
        <v>28</v>
      </c>
      <c r="G386" s="1" t="s">
        <v>90</v>
      </c>
      <c r="H386" s="1" t="s">
        <v>63</v>
      </c>
      <c r="I386">
        <v>4</v>
      </c>
      <c r="J386">
        <v>120</v>
      </c>
      <c r="K386">
        <v>0</v>
      </c>
      <c r="L386">
        <v>480</v>
      </c>
      <c r="M386" s="1" t="s">
        <v>20</v>
      </c>
    </row>
    <row r="387" spans="1:13" x14ac:dyDescent="0.3">
      <c r="A387" s="1" t="s">
        <v>88</v>
      </c>
      <c r="B387" s="2">
        <v>46028</v>
      </c>
      <c r="C387" s="1" t="s">
        <v>89</v>
      </c>
      <c r="D387" s="1" t="s">
        <v>57</v>
      </c>
      <c r="E387" s="1" t="s">
        <v>58</v>
      </c>
      <c r="F387" s="1" t="s">
        <v>17</v>
      </c>
      <c r="G387" s="1" t="s">
        <v>90</v>
      </c>
      <c r="H387" s="1" t="s">
        <v>60</v>
      </c>
      <c r="I387">
        <v>1</v>
      </c>
      <c r="J387">
        <v>45</v>
      </c>
      <c r="K387">
        <v>0</v>
      </c>
      <c r="L387">
        <v>45</v>
      </c>
      <c r="M387" s="1" t="s">
        <v>37</v>
      </c>
    </row>
    <row r="388" spans="1:13" x14ac:dyDescent="0.3">
      <c r="A388" s="1" t="s">
        <v>88</v>
      </c>
      <c r="B388" s="2">
        <v>46034</v>
      </c>
      <c r="C388" s="1" t="s">
        <v>89</v>
      </c>
      <c r="D388" s="1" t="s">
        <v>65</v>
      </c>
      <c r="E388" s="1" t="s">
        <v>66</v>
      </c>
      <c r="F388" s="1" t="s">
        <v>40</v>
      </c>
      <c r="G388" s="1" t="s">
        <v>91</v>
      </c>
      <c r="H388" s="1" t="s">
        <v>80</v>
      </c>
      <c r="I388">
        <v>5</v>
      </c>
      <c r="J388">
        <v>210</v>
      </c>
      <c r="K388">
        <v>0</v>
      </c>
      <c r="L388">
        <v>1050</v>
      </c>
      <c r="M388" s="1" t="s">
        <v>20</v>
      </c>
    </row>
    <row r="389" spans="1:13" x14ac:dyDescent="0.3">
      <c r="A389" s="1" t="s">
        <v>88</v>
      </c>
      <c r="B389" s="2">
        <v>46043</v>
      </c>
      <c r="C389" s="1" t="s">
        <v>89</v>
      </c>
      <c r="D389" s="1" t="s">
        <v>43</v>
      </c>
      <c r="E389" s="1" t="s">
        <v>44</v>
      </c>
      <c r="F389" s="1" t="s">
        <v>45</v>
      </c>
      <c r="G389" s="1" t="s">
        <v>91</v>
      </c>
      <c r="H389" s="1" t="s">
        <v>76</v>
      </c>
      <c r="I389">
        <v>1</v>
      </c>
      <c r="J389">
        <v>140</v>
      </c>
      <c r="K389">
        <v>0.05</v>
      </c>
      <c r="L389">
        <v>133</v>
      </c>
      <c r="M389" s="1" t="s">
        <v>37</v>
      </c>
    </row>
    <row r="390" spans="1:13" x14ac:dyDescent="0.3">
      <c r="A390" s="1" t="s">
        <v>88</v>
      </c>
      <c r="B390" s="2">
        <v>46033</v>
      </c>
      <c r="C390" s="1" t="s">
        <v>89</v>
      </c>
      <c r="D390" s="1" t="s">
        <v>26</v>
      </c>
      <c r="E390" s="1" t="s">
        <v>27</v>
      </c>
      <c r="F390" s="1" t="s">
        <v>28</v>
      </c>
      <c r="G390" s="1" t="s">
        <v>90</v>
      </c>
      <c r="H390" s="1" t="s">
        <v>24</v>
      </c>
      <c r="I390">
        <v>5</v>
      </c>
      <c r="J390">
        <v>180</v>
      </c>
      <c r="K390">
        <v>0.1</v>
      </c>
      <c r="L390">
        <v>810</v>
      </c>
      <c r="M390" s="1" t="s">
        <v>20</v>
      </c>
    </row>
    <row r="391" spans="1:13" x14ac:dyDescent="0.3">
      <c r="A391" s="1" t="s">
        <v>88</v>
      </c>
      <c r="B391" s="2">
        <v>46045</v>
      </c>
      <c r="C391" s="1" t="s">
        <v>89</v>
      </c>
      <c r="D391" s="1" t="s">
        <v>34</v>
      </c>
      <c r="E391" s="1" t="s">
        <v>35</v>
      </c>
      <c r="F391" s="1" t="s">
        <v>28</v>
      </c>
      <c r="G391" s="1" t="s">
        <v>90</v>
      </c>
      <c r="H391" s="1" t="s">
        <v>56</v>
      </c>
      <c r="I391">
        <v>4</v>
      </c>
      <c r="J391">
        <v>120</v>
      </c>
      <c r="K391">
        <v>0</v>
      </c>
      <c r="L391">
        <v>480</v>
      </c>
      <c r="M391" s="1" t="s">
        <v>20</v>
      </c>
    </row>
    <row r="392" spans="1:13" x14ac:dyDescent="0.3">
      <c r="A392" s="1" t="s">
        <v>88</v>
      </c>
      <c r="B392" s="2">
        <v>46044</v>
      </c>
      <c r="C392" s="1" t="s">
        <v>89</v>
      </c>
      <c r="D392" s="1" t="s">
        <v>49</v>
      </c>
      <c r="E392" s="1" t="s">
        <v>50</v>
      </c>
      <c r="F392" s="1" t="s">
        <v>45</v>
      </c>
      <c r="G392" s="1" t="s">
        <v>91</v>
      </c>
      <c r="H392" s="1" t="s">
        <v>29</v>
      </c>
      <c r="I392">
        <v>5</v>
      </c>
      <c r="J392">
        <v>35</v>
      </c>
      <c r="K392">
        <v>0</v>
      </c>
      <c r="L392">
        <v>175</v>
      </c>
      <c r="M392" s="1" t="s">
        <v>20</v>
      </c>
    </row>
    <row r="393" spans="1:13" x14ac:dyDescent="0.3">
      <c r="A393" s="1" t="s">
        <v>88</v>
      </c>
      <c r="B393" s="2">
        <v>46047</v>
      </c>
      <c r="C393" s="1" t="s">
        <v>89</v>
      </c>
      <c r="D393" s="1" t="s">
        <v>34</v>
      </c>
      <c r="E393" s="1" t="s">
        <v>35</v>
      </c>
      <c r="F393" s="1" t="s">
        <v>28</v>
      </c>
      <c r="G393" s="1" t="s">
        <v>91</v>
      </c>
      <c r="H393" s="1" t="s">
        <v>24</v>
      </c>
      <c r="I393">
        <v>2</v>
      </c>
      <c r="J393">
        <v>120</v>
      </c>
      <c r="K393">
        <v>0</v>
      </c>
      <c r="L393">
        <v>240</v>
      </c>
      <c r="M393" s="1" t="s">
        <v>33</v>
      </c>
    </row>
    <row r="394" spans="1:13" x14ac:dyDescent="0.3">
      <c r="A394" s="1" t="s">
        <v>88</v>
      </c>
      <c r="B394" s="2">
        <v>46040</v>
      </c>
      <c r="C394" s="1" t="s">
        <v>89</v>
      </c>
      <c r="D394" s="1" t="s">
        <v>30</v>
      </c>
      <c r="E394" s="1" t="s">
        <v>31</v>
      </c>
      <c r="F394" s="1" t="s">
        <v>23</v>
      </c>
      <c r="G394" s="1" t="s">
        <v>90</v>
      </c>
      <c r="H394" s="1" t="s">
        <v>81</v>
      </c>
      <c r="I394">
        <v>1</v>
      </c>
      <c r="J394">
        <v>2800</v>
      </c>
      <c r="K394">
        <v>0</v>
      </c>
      <c r="L394">
        <v>2800</v>
      </c>
      <c r="M394" s="1" t="s">
        <v>33</v>
      </c>
    </row>
    <row r="395" spans="1:13" x14ac:dyDescent="0.3">
      <c r="A395" s="1" t="s">
        <v>88</v>
      </c>
      <c r="B395" s="2">
        <v>46049</v>
      </c>
      <c r="C395" s="1" t="s">
        <v>89</v>
      </c>
      <c r="D395" s="1" t="s">
        <v>38</v>
      </c>
      <c r="E395" s="1" t="s">
        <v>39</v>
      </c>
      <c r="F395" s="1" t="s">
        <v>40</v>
      </c>
      <c r="G395" s="1" t="s">
        <v>90</v>
      </c>
      <c r="H395" s="1" t="s">
        <v>82</v>
      </c>
      <c r="I395">
        <v>2</v>
      </c>
      <c r="J395">
        <v>55</v>
      </c>
      <c r="K395">
        <v>0</v>
      </c>
      <c r="L395">
        <v>110</v>
      </c>
      <c r="M395" s="1" t="s">
        <v>37</v>
      </c>
    </row>
    <row r="396" spans="1:13" x14ac:dyDescent="0.3">
      <c r="A396" s="1" t="s">
        <v>88</v>
      </c>
      <c r="B396" s="2">
        <v>46042</v>
      </c>
      <c r="C396" s="1" t="s">
        <v>89</v>
      </c>
      <c r="D396" s="1" t="s">
        <v>69</v>
      </c>
      <c r="E396" s="1" t="s">
        <v>70</v>
      </c>
      <c r="F396" s="1" t="s">
        <v>28</v>
      </c>
      <c r="G396" s="1" t="s">
        <v>91</v>
      </c>
      <c r="H396" s="1" t="s">
        <v>63</v>
      </c>
      <c r="I396">
        <v>2</v>
      </c>
      <c r="J396">
        <v>95</v>
      </c>
      <c r="K396">
        <v>0.15</v>
      </c>
      <c r="L396">
        <v>161.5</v>
      </c>
      <c r="M396" s="1" t="s">
        <v>37</v>
      </c>
    </row>
    <row r="397" spans="1:13" x14ac:dyDescent="0.3">
      <c r="A397" s="1" t="s">
        <v>88</v>
      </c>
      <c r="B397" s="2">
        <v>46048</v>
      </c>
      <c r="C397" s="1" t="s">
        <v>89</v>
      </c>
      <c r="D397" s="1" t="s">
        <v>26</v>
      </c>
      <c r="E397" s="1" t="s">
        <v>27</v>
      </c>
      <c r="F397" s="1" t="s">
        <v>28</v>
      </c>
      <c r="G397" s="1" t="s">
        <v>91</v>
      </c>
      <c r="H397" s="1" t="s">
        <v>51</v>
      </c>
      <c r="I397">
        <v>2</v>
      </c>
      <c r="J397">
        <v>180</v>
      </c>
      <c r="K397">
        <v>0</v>
      </c>
      <c r="L397">
        <v>360</v>
      </c>
      <c r="M397" s="1" t="s">
        <v>20</v>
      </c>
    </row>
    <row r="398" spans="1:13" x14ac:dyDescent="0.3">
      <c r="A398" s="1" t="s">
        <v>88</v>
      </c>
      <c r="B398" s="2">
        <v>46037</v>
      </c>
      <c r="C398" s="1" t="s">
        <v>89</v>
      </c>
      <c r="D398" s="1" t="s">
        <v>43</v>
      </c>
      <c r="E398" s="1" t="s">
        <v>44</v>
      </c>
      <c r="F398" s="1" t="s">
        <v>45</v>
      </c>
      <c r="G398" s="1" t="s">
        <v>91</v>
      </c>
      <c r="H398" s="1" t="s">
        <v>71</v>
      </c>
      <c r="I398">
        <v>5</v>
      </c>
      <c r="J398">
        <v>140</v>
      </c>
      <c r="K398">
        <v>0.15</v>
      </c>
      <c r="L398">
        <v>595</v>
      </c>
      <c r="M398" s="1" t="s">
        <v>37</v>
      </c>
    </row>
    <row r="399" spans="1:13" x14ac:dyDescent="0.3">
      <c r="A399" s="1" t="s">
        <v>88</v>
      </c>
      <c r="B399" s="2">
        <v>46027</v>
      </c>
      <c r="C399" s="1" t="s">
        <v>89</v>
      </c>
      <c r="D399" s="1" t="s">
        <v>57</v>
      </c>
      <c r="E399" s="1" t="s">
        <v>58</v>
      </c>
      <c r="F399" s="1" t="s">
        <v>17</v>
      </c>
      <c r="G399" s="1" t="s">
        <v>91</v>
      </c>
      <c r="H399" s="1" t="s">
        <v>42</v>
      </c>
      <c r="I399">
        <v>2</v>
      </c>
      <c r="J399">
        <v>45</v>
      </c>
      <c r="K399">
        <v>0.1</v>
      </c>
      <c r="L399">
        <v>81</v>
      </c>
      <c r="M399" s="1" t="s">
        <v>20</v>
      </c>
    </row>
    <row r="400" spans="1:13" x14ac:dyDescent="0.3">
      <c r="A400" s="1" t="s">
        <v>88</v>
      </c>
      <c r="B400" s="2">
        <v>46039</v>
      </c>
      <c r="C400" s="1" t="s">
        <v>89</v>
      </c>
      <c r="D400" s="1" t="s">
        <v>65</v>
      </c>
      <c r="E400" s="1" t="s">
        <v>66</v>
      </c>
      <c r="F400" s="1" t="s">
        <v>40</v>
      </c>
      <c r="G400" s="1" t="s">
        <v>90</v>
      </c>
      <c r="H400" s="1" t="s">
        <v>80</v>
      </c>
      <c r="I400">
        <v>1</v>
      </c>
      <c r="J400">
        <v>210</v>
      </c>
      <c r="K400">
        <v>0.05</v>
      </c>
      <c r="L400">
        <v>199.5</v>
      </c>
      <c r="M400" s="1" t="s">
        <v>33</v>
      </c>
    </row>
    <row r="401" spans="1:13" x14ac:dyDescent="0.3">
      <c r="A401" s="1" t="s">
        <v>88</v>
      </c>
      <c r="B401" s="2">
        <v>46036</v>
      </c>
      <c r="C401" s="1" t="s">
        <v>89</v>
      </c>
      <c r="D401" s="1" t="s">
        <v>26</v>
      </c>
      <c r="E401" s="1" t="s">
        <v>27</v>
      </c>
      <c r="F401" s="1" t="s">
        <v>28</v>
      </c>
      <c r="G401" s="1" t="s">
        <v>90</v>
      </c>
      <c r="H401" s="1" t="s">
        <v>77</v>
      </c>
      <c r="I401">
        <v>5</v>
      </c>
      <c r="J401">
        <v>180</v>
      </c>
      <c r="K401">
        <v>0</v>
      </c>
      <c r="L401">
        <v>900</v>
      </c>
      <c r="M401" s="1" t="s">
        <v>37</v>
      </c>
    </row>
    <row r="402" spans="1:13" x14ac:dyDescent="0.3">
      <c r="A402" s="1" t="s">
        <v>92</v>
      </c>
      <c r="B402" s="2">
        <v>46071</v>
      </c>
      <c r="C402" s="1" t="s">
        <v>89</v>
      </c>
      <c r="D402" s="1" t="s">
        <v>30</v>
      </c>
      <c r="E402" s="1" t="s">
        <v>31</v>
      </c>
      <c r="F402" s="1" t="s">
        <v>23</v>
      </c>
      <c r="G402" s="1" t="s">
        <v>91</v>
      </c>
      <c r="H402" s="1" t="s">
        <v>67</v>
      </c>
      <c r="I402">
        <v>4</v>
      </c>
      <c r="J402">
        <v>2800</v>
      </c>
      <c r="K402">
        <v>0</v>
      </c>
      <c r="L402">
        <v>11200</v>
      </c>
      <c r="M402" s="1" t="s">
        <v>25</v>
      </c>
    </row>
    <row r="403" spans="1:13" x14ac:dyDescent="0.3">
      <c r="A403" s="1" t="s">
        <v>92</v>
      </c>
      <c r="B403" s="2">
        <v>46066</v>
      </c>
      <c r="C403" s="1" t="s">
        <v>89</v>
      </c>
      <c r="D403" s="1" t="s">
        <v>57</v>
      </c>
      <c r="E403" s="1" t="s">
        <v>58</v>
      </c>
      <c r="F403" s="1" t="s">
        <v>17</v>
      </c>
      <c r="G403" s="1" t="s">
        <v>91</v>
      </c>
      <c r="H403" s="1" t="s">
        <v>71</v>
      </c>
      <c r="I403">
        <v>1</v>
      </c>
      <c r="J403">
        <v>45</v>
      </c>
      <c r="K403">
        <v>0.05</v>
      </c>
      <c r="L403">
        <v>42.75</v>
      </c>
      <c r="M403" s="1" t="s">
        <v>33</v>
      </c>
    </row>
    <row r="404" spans="1:13" x14ac:dyDescent="0.3">
      <c r="A404" s="1" t="s">
        <v>92</v>
      </c>
      <c r="B404" s="2">
        <v>46058</v>
      </c>
      <c r="C404" s="1" t="s">
        <v>89</v>
      </c>
      <c r="D404" s="1" t="s">
        <v>61</v>
      </c>
      <c r="E404" s="1" t="s">
        <v>62</v>
      </c>
      <c r="F404" s="1" t="s">
        <v>40</v>
      </c>
      <c r="G404" s="1" t="s">
        <v>91</v>
      </c>
      <c r="H404" s="1" t="s">
        <v>68</v>
      </c>
      <c r="I404">
        <v>1</v>
      </c>
      <c r="J404">
        <v>160</v>
      </c>
      <c r="K404">
        <v>0.15</v>
      </c>
      <c r="L404">
        <v>136</v>
      </c>
      <c r="M404" s="1" t="s">
        <v>33</v>
      </c>
    </row>
    <row r="405" spans="1:13" x14ac:dyDescent="0.3">
      <c r="A405" s="1" t="s">
        <v>92</v>
      </c>
      <c r="B405" s="2">
        <v>46065</v>
      </c>
      <c r="C405" s="1" t="s">
        <v>89</v>
      </c>
      <c r="D405" s="1" t="s">
        <v>15</v>
      </c>
      <c r="E405" s="1" t="s">
        <v>16</v>
      </c>
      <c r="F405" s="1" t="s">
        <v>17</v>
      </c>
      <c r="G405" s="1" t="s">
        <v>91</v>
      </c>
      <c r="H405" s="1" t="s">
        <v>19</v>
      </c>
      <c r="I405">
        <v>5</v>
      </c>
      <c r="J405">
        <v>60</v>
      </c>
      <c r="K405">
        <v>0</v>
      </c>
      <c r="L405">
        <v>300</v>
      </c>
      <c r="M405" s="1" t="s">
        <v>25</v>
      </c>
    </row>
    <row r="406" spans="1:13" x14ac:dyDescent="0.3">
      <c r="A406" s="1" t="s">
        <v>92</v>
      </c>
      <c r="B406" s="2">
        <v>46072</v>
      </c>
      <c r="C406" s="1" t="s">
        <v>89</v>
      </c>
      <c r="D406" s="1" t="s">
        <v>65</v>
      </c>
      <c r="E406" s="1" t="s">
        <v>66</v>
      </c>
      <c r="F406" s="1" t="s">
        <v>40</v>
      </c>
      <c r="G406" s="1" t="s">
        <v>90</v>
      </c>
      <c r="H406" s="1" t="s">
        <v>24</v>
      </c>
      <c r="I406">
        <v>4</v>
      </c>
      <c r="J406">
        <v>210</v>
      </c>
      <c r="K406">
        <v>0</v>
      </c>
      <c r="L406">
        <v>840</v>
      </c>
      <c r="M406" s="1" t="s">
        <v>33</v>
      </c>
    </row>
    <row r="407" spans="1:13" x14ac:dyDescent="0.3">
      <c r="A407" s="1" t="s">
        <v>92</v>
      </c>
      <c r="B407" s="2">
        <v>46066</v>
      </c>
      <c r="C407" s="1" t="s">
        <v>89</v>
      </c>
      <c r="D407" s="1" t="s">
        <v>34</v>
      </c>
      <c r="E407" s="1" t="s">
        <v>35</v>
      </c>
      <c r="F407" s="1" t="s">
        <v>28</v>
      </c>
      <c r="G407" s="1" t="s">
        <v>91</v>
      </c>
      <c r="H407" s="1" t="s">
        <v>85</v>
      </c>
      <c r="I407">
        <v>3</v>
      </c>
      <c r="J407">
        <v>120</v>
      </c>
      <c r="K407">
        <v>0.1</v>
      </c>
      <c r="L407">
        <v>324</v>
      </c>
      <c r="M407" s="1" t="s">
        <v>33</v>
      </c>
    </row>
    <row r="408" spans="1:13" x14ac:dyDescent="0.3">
      <c r="A408" s="1" t="s">
        <v>92</v>
      </c>
      <c r="B408" s="2">
        <v>46078</v>
      </c>
      <c r="C408" s="1" t="s">
        <v>89</v>
      </c>
      <c r="D408" s="1" t="s">
        <v>30</v>
      </c>
      <c r="E408" s="1" t="s">
        <v>31</v>
      </c>
      <c r="F408" s="1" t="s">
        <v>23</v>
      </c>
      <c r="G408" s="1" t="s">
        <v>90</v>
      </c>
      <c r="H408" s="1" t="s">
        <v>83</v>
      </c>
      <c r="I408">
        <v>2</v>
      </c>
      <c r="J408">
        <v>2800</v>
      </c>
      <c r="K408">
        <v>0</v>
      </c>
      <c r="L408">
        <v>5600</v>
      </c>
      <c r="M408" s="1" t="s">
        <v>37</v>
      </c>
    </row>
    <row r="409" spans="1:13" x14ac:dyDescent="0.3">
      <c r="A409" s="1" t="s">
        <v>92</v>
      </c>
      <c r="B409" s="2">
        <v>46065</v>
      </c>
      <c r="C409" s="1" t="s">
        <v>89</v>
      </c>
      <c r="D409" s="1" t="s">
        <v>61</v>
      </c>
      <c r="E409" s="1" t="s">
        <v>62</v>
      </c>
      <c r="F409" s="1" t="s">
        <v>40</v>
      </c>
      <c r="G409" s="1" t="s">
        <v>90</v>
      </c>
      <c r="H409" s="1" t="s">
        <v>60</v>
      </c>
      <c r="I409">
        <v>4</v>
      </c>
      <c r="J409">
        <v>160</v>
      </c>
      <c r="K409">
        <v>0</v>
      </c>
      <c r="L409">
        <v>640</v>
      </c>
      <c r="M409" s="1" t="s">
        <v>20</v>
      </c>
    </row>
    <row r="410" spans="1:13" x14ac:dyDescent="0.3">
      <c r="A410" s="1" t="s">
        <v>92</v>
      </c>
      <c r="B410" s="2">
        <v>46075</v>
      </c>
      <c r="C410" s="1" t="s">
        <v>89</v>
      </c>
      <c r="D410" s="1" t="s">
        <v>72</v>
      </c>
      <c r="E410" s="1" t="s">
        <v>73</v>
      </c>
      <c r="F410" s="1" t="s">
        <v>17</v>
      </c>
      <c r="G410" s="1" t="s">
        <v>91</v>
      </c>
      <c r="H410" s="1" t="s">
        <v>67</v>
      </c>
      <c r="I410">
        <v>1</v>
      </c>
      <c r="J410">
        <v>170</v>
      </c>
      <c r="K410">
        <v>0</v>
      </c>
      <c r="L410">
        <v>170</v>
      </c>
      <c r="M410" s="1" t="s">
        <v>25</v>
      </c>
    </row>
    <row r="411" spans="1:13" x14ac:dyDescent="0.3">
      <c r="A411" s="1" t="s">
        <v>92</v>
      </c>
      <c r="B411" s="2">
        <v>46076</v>
      </c>
      <c r="C411" s="1" t="s">
        <v>89</v>
      </c>
      <c r="D411" s="1" t="s">
        <v>21</v>
      </c>
      <c r="E411" s="1" t="s">
        <v>22</v>
      </c>
      <c r="F411" s="1" t="s">
        <v>23</v>
      </c>
      <c r="G411" s="1" t="s">
        <v>90</v>
      </c>
      <c r="H411" s="1" t="s">
        <v>56</v>
      </c>
      <c r="I411">
        <v>3</v>
      </c>
      <c r="J411">
        <v>220</v>
      </c>
      <c r="K411">
        <v>0</v>
      </c>
      <c r="L411">
        <v>660</v>
      </c>
      <c r="M411" s="1" t="s">
        <v>25</v>
      </c>
    </row>
    <row r="412" spans="1:13" x14ac:dyDescent="0.3">
      <c r="A412" s="1" t="s">
        <v>92</v>
      </c>
      <c r="B412" s="2">
        <v>46059</v>
      </c>
      <c r="C412" s="1" t="s">
        <v>89</v>
      </c>
      <c r="D412" s="1" t="s">
        <v>43</v>
      </c>
      <c r="E412" s="1" t="s">
        <v>44</v>
      </c>
      <c r="F412" s="1" t="s">
        <v>45</v>
      </c>
      <c r="G412" s="1" t="s">
        <v>90</v>
      </c>
      <c r="H412" s="1" t="s">
        <v>84</v>
      </c>
      <c r="I412">
        <v>3</v>
      </c>
      <c r="J412">
        <v>140</v>
      </c>
      <c r="K412">
        <v>0.1</v>
      </c>
      <c r="L412">
        <v>378</v>
      </c>
      <c r="M412" s="1" t="s">
        <v>37</v>
      </c>
    </row>
    <row r="413" spans="1:13" x14ac:dyDescent="0.3">
      <c r="A413" s="1" t="s">
        <v>92</v>
      </c>
      <c r="B413" s="2">
        <v>46068</v>
      </c>
      <c r="C413" s="1" t="s">
        <v>89</v>
      </c>
      <c r="D413" s="1" t="s">
        <v>38</v>
      </c>
      <c r="E413" s="1" t="s">
        <v>39</v>
      </c>
      <c r="F413" s="1" t="s">
        <v>40</v>
      </c>
      <c r="G413" s="1" t="s">
        <v>90</v>
      </c>
      <c r="H413" s="1" t="s">
        <v>24</v>
      </c>
      <c r="I413">
        <v>5</v>
      </c>
      <c r="J413">
        <v>55</v>
      </c>
      <c r="K413">
        <v>0</v>
      </c>
      <c r="L413">
        <v>275</v>
      </c>
      <c r="M413" s="1" t="s">
        <v>25</v>
      </c>
    </row>
    <row r="414" spans="1:13" x14ac:dyDescent="0.3">
      <c r="A414" s="1" t="s">
        <v>92</v>
      </c>
      <c r="B414" s="2">
        <v>46080</v>
      </c>
      <c r="C414" s="1" t="s">
        <v>89</v>
      </c>
      <c r="D414" s="1" t="s">
        <v>30</v>
      </c>
      <c r="E414" s="1" t="s">
        <v>31</v>
      </c>
      <c r="F414" s="1" t="s">
        <v>23</v>
      </c>
      <c r="G414" s="1" t="s">
        <v>91</v>
      </c>
      <c r="H414" s="1" t="s">
        <v>75</v>
      </c>
      <c r="I414">
        <v>2</v>
      </c>
      <c r="J414">
        <v>2800</v>
      </c>
      <c r="K414">
        <v>0</v>
      </c>
      <c r="L414">
        <v>5600</v>
      </c>
      <c r="M414" s="1" t="s">
        <v>25</v>
      </c>
    </row>
    <row r="415" spans="1:13" x14ac:dyDescent="0.3">
      <c r="A415" s="1" t="s">
        <v>92</v>
      </c>
      <c r="B415" s="2">
        <v>46056</v>
      </c>
      <c r="C415" s="1" t="s">
        <v>89</v>
      </c>
      <c r="D415" s="1" t="s">
        <v>38</v>
      </c>
      <c r="E415" s="1" t="s">
        <v>39</v>
      </c>
      <c r="F415" s="1" t="s">
        <v>40</v>
      </c>
      <c r="G415" s="1" t="s">
        <v>90</v>
      </c>
      <c r="H415" s="1" t="s">
        <v>51</v>
      </c>
      <c r="I415">
        <v>3</v>
      </c>
      <c r="J415">
        <v>55</v>
      </c>
      <c r="K415">
        <v>0.1</v>
      </c>
      <c r="L415">
        <v>148.5</v>
      </c>
      <c r="M415" s="1" t="s">
        <v>37</v>
      </c>
    </row>
    <row r="416" spans="1:13" x14ac:dyDescent="0.3">
      <c r="A416" s="1" t="s">
        <v>92</v>
      </c>
      <c r="B416" s="2">
        <v>46080</v>
      </c>
      <c r="C416" s="1" t="s">
        <v>89</v>
      </c>
      <c r="D416" s="1" t="s">
        <v>49</v>
      </c>
      <c r="E416" s="1" t="s">
        <v>50</v>
      </c>
      <c r="F416" s="1" t="s">
        <v>45</v>
      </c>
      <c r="G416" s="1" t="s">
        <v>91</v>
      </c>
      <c r="H416" s="1" t="s">
        <v>60</v>
      </c>
      <c r="I416">
        <v>1</v>
      </c>
      <c r="J416">
        <v>35</v>
      </c>
      <c r="K416">
        <v>0.1</v>
      </c>
      <c r="L416">
        <v>31.5</v>
      </c>
      <c r="M416" s="1" t="s">
        <v>25</v>
      </c>
    </row>
    <row r="417" spans="1:13" x14ac:dyDescent="0.3">
      <c r="A417" s="1" t="s">
        <v>92</v>
      </c>
      <c r="B417" s="2">
        <v>46077</v>
      </c>
      <c r="C417" s="1" t="s">
        <v>89</v>
      </c>
      <c r="D417" s="1" t="s">
        <v>21</v>
      </c>
      <c r="E417" s="1" t="s">
        <v>22</v>
      </c>
      <c r="F417" s="1" t="s">
        <v>23</v>
      </c>
      <c r="G417" s="1" t="s">
        <v>91</v>
      </c>
      <c r="H417" s="1" t="s">
        <v>56</v>
      </c>
      <c r="I417">
        <v>5</v>
      </c>
      <c r="J417">
        <v>220</v>
      </c>
      <c r="K417">
        <v>0</v>
      </c>
      <c r="L417">
        <v>1100</v>
      </c>
      <c r="M417" s="1" t="s">
        <v>37</v>
      </c>
    </row>
    <row r="418" spans="1:13" x14ac:dyDescent="0.3">
      <c r="A418" s="1" t="s">
        <v>92</v>
      </c>
      <c r="B418" s="2">
        <v>46062</v>
      </c>
      <c r="C418" s="1" t="s">
        <v>89</v>
      </c>
      <c r="D418" s="1" t="s">
        <v>21</v>
      </c>
      <c r="E418" s="1" t="s">
        <v>22</v>
      </c>
      <c r="F418" s="1" t="s">
        <v>23</v>
      </c>
      <c r="G418" s="1" t="s">
        <v>91</v>
      </c>
      <c r="H418" s="1" t="s">
        <v>24</v>
      </c>
      <c r="I418">
        <v>2</v>
      </c>
      <c r="J418">
        <v>220</v>
      </c>
      <c r="K418">
        <v>0.1</v>
      </c>
      <c r="L418">
        <v>396</v>
      </c>
      <c r="M418" s="1" t="s">
        <v>25</v>
      </c>
    </row>
    <row r="419" spans="1:13" x14ac:dyDescent="0.3">
      <c r="A419" s="1" t="s">
        <v>92</v>
      </c>
      <c r="B419" s="2">
        <v>46063</v>
      </c>
      <c r="C419" s="1" t="s">
        <v>89</v>
      </c>
      <c r="D419" s="1" t="s">
        <v>38</v>
      </c>
      <c r="E419" s="1" t="s">
        <v>39</v>
      </c>
      <c r="F419" s="1" t="s">
        <v>40</v>
      </c>
      <c r="G419" s="1" t="s">
        <v>91</v>
      </c>
      <c r="H419" s="1" t="s">
        <v>52</v>
      </c>
      <c r="I419">
        <v>5</v>
      </c>
      <c r="J419">
        <v>55</v>
      </c>
      <c r="K419">
        <v>0</v>
      </c>
      <c r="L419">
        <v>275</v>
      </c>
      <c r="M419" s="1" t="s">
        <v>37</v>
      </c>
    </row>
    <row r="420" spans="1:13" x14ac:dyDescent="0.3">
      <c r="A420" s="1" t="s">
        <v>92</v>
      </c>
      <c r="B420" s="2">
        <v>46067</v>
      </c>
      <c r="C420" s="1" t="s">
        <v>89</v>
      </c>
      <c r="D420" s="1" t="s">
        <v>30</v>
      </c>
      <c r="E420" s="1" t="s">
        <v>31</v>
      </c>
      <c r="F420" s="1" t="s">
        <v>23</v>
      </c>
      <c r="G420" s="1" t="s">
        <v>90</v>
      </c>
      <c r="H420" s="1" t="s">
        <v>63</v>
      </c>
      <c r="I420">
        <v>3</v>
      </c>
      <c r="J420">
        <v>2800</v>
      </c>
      <c r="K420">
        <v>0</v>
      </c>
      <c r="L420">
        <v>8400</v>
      </c>
      <c r="M420" s="1" t="s">
        <v>33</v>
      </c>
    </row>
    <row r="421" spans="1:13" x14ac:dyDescent="0.3">
      <c r="A421" s="1" t="s">
        <v>92</v>
      </c>
      <c r="B421" s="2">
        <v>46066</v>
      </c>
      <c r="C421" s="1" t="s">
        <v>89</v>
      </c>
      <c r="D421" s="1" t="s">
        <v>38</v>
      </c>
      <c r="E421" s="1" t="s">
        <v>39</v>
      </c>
      <c r="F421" s="1" t="s">
        <v>40</v>
      </c>
      <c r="G421" s="1" t="s">
        <v>91</v>
      </c>
      <c r="H421" s="1" t="s">
        <v>63</v>
      </c>
      <c r="I421">
        <v>5</v>
      </c>
      <c r="J421">
        <v>55</v>
      </c>
      <c r="K421">
        <v>0.05</v>
      </c>
      <c r="L421">
        <v>261.25</v>
      </c>
      <c r="M421" s="1" t="s">
        <v>37</v>
      </c>
    </row>
    <row r="422" spans="1:13" x14ac:dyDescent="0.3">
      <c r="A422" s="1" t="s">
        <v>92</v>
      </c>
      <c r="B422" s="2">
        <v>46066</v>
      </c>
      <c r="C422" s="1" t="s">
        <v>89</v>
      </c>
      <c r="D422" s="1" t="s">
        <v>34</v>
      </c>
      <c r="E422" s="1" t="s">
        <v>35</v>
      </c>
      <c r="F422" s="1" t="s">
        <v>28</v>
      </c>
      <c r="G422" s="1" t="s">
        <v>91</v>
      </c>
      <c r="H422" s="1" t="s">
        <v>53</v>
      </c>
      <c r="I422">
        <v>5</v>
      </c>
      <c r="J422">
        <v>120</v>
      </c>
      <c r="K422">
        <v>0</v>
      </c>
      <c r="L422">
        <v>600</v>
      </c>
      <c r="M422" s="1" t="s">
        <v>33</v>
      </c>
    </row>
    <row r="423" spans="1:13" x14ac:dyDescent="0.3">
      <c r="A423" s="1" t="s">
        <v>92</v>
      </c>
      <c r="B423" s="2">
        <v>46069</v>
      </c>
      <c r="C423" s="1" t="s">
        <v>89</v>
      </c>
      <c r="D423" s="1" t="s">
        <v>30</v>
      </c>
      <c r="E423" s="1" t="s">
        <v>31</v>
      </c>
      <c r="F423" s="1" t="s">
        <v>23</v>
      </c>
      <c r="G423" s="1" t="s">
        <v>91</v>
      </c>
      <c r="H423" s="1" t="s">
        <v>77</v>
      </c>
      <c r="I423">
        <v>3</v>
      </c>
      <c r="J423">
        <v>2800</v>
      </c>
      <c r="K423">
        <v>0</v>
      </c>
      <c r="L423">
        <v>8400</v>
      </c>
      <c r="M423" s="1" t="s">
        <v>33</v>
      </c>
    </row>
    <row r="424" spans="1:13" x14ac:dyDescent="0.3">
      <c r="A424" s="1" t="s">
        <v>92</v>
      </c>
      <c r="B424" s="2">
        <v>46080</v>
      </c>
      <c r="C424" s="1" t="s">
        <v>89</v>
      </c>
      <c r="D424" s="1" t="s">
        <v>54</v>
      </c>
      <c r="E424" s="1" t="s">
        <v>55</v>
      </c>
      <c r="F424" s="1" t="s">
        <v>23</v>
      </c>
      <c r="G424" s="1" t="s">
        <v>90</v>
      </c>
      <c r="H424" s="1" t="s">
        <v>77</v>
      </c>
      <c r="I424">
        <v>2</v>
      </c>
      <c r="J424">
        <v>75</v>
      </c>
      <c r="K424">
        <v>0</v>
      </c>
      <c r="L424">
        <v>150</v>
      </c>
      <c r="M424" s="1" t="s">
        <v>37</v>
      </c>
    </row>
    <row r="425" spans="1:13" x14ac:dyDescent="0.3">
      <c r="A425" s="1" t="s">
        <v>92</v>
      </c>
      <c r="B425" s="2">
        <v>46072</v>
      </c>
      <c r="C425" s="1" t="s">
        <v>89</v>
      </c>
      <c r="D425" s="1" t="s">
        <v>69</v>
      </c>
      <c r="E425" s="1" t="s">
        <v>70</v>
      </c>
      <c r="F425" s="1" t="s">
        <v>28</v>
      </c>
      <c r="G425" s="1" t="s">
        <v>91</v>
      </c>
      <c r="H425" s="1" t="s">
        <v>67</v>
      </c>
      <c r="I425">
        <v>2</v>
      </c>
      <c r="J425">
        <v>95</v>
      </c>
      <c r="K425">
        <v>0</v>
      </c>
      <c r="L425">
        <v>190</v>
      </c>
      <c r="M425" s="1" t="s">
        <v>20</v>
      </c>
    </row>
    <row r="426" spans="1:13" x14ac:dyDescent="0.3">
      <c r="A426" s="1" t="s">
        <v>92</v>
      </c>
      <c r="B426" s="2">
        <v>46065</v>
      </c>
      <c r="C426" s="1" t="s">
        <v>89</v>
      </c>
      <c r="D426" s="1" t="s">
        <v>15</v>
      </c>
      <c r="E426" s="1" t="s">
        <v>16</v>
      </c>
      <c r="F426" s="1" t="s">
        <v>17</v>
      </c>
      <c r="G426" s="1" t="s">
        <v>90</v>
      </c>
      <c r="H426" s="1" t="s">
        <v>51</v>
      </c>
      <c r="I426">
        <v>1</v>
      </c>
      <c r="J426">
        <v>60</v>
      </c>
      <c r="K426">
        <v>0.05</v>
      </c>
      <c r="L426">
        <v>57</v>
      </c>
      <c r="M426" s="1" t="s">
        <v>37</v>
      </c>
    </row>
    <row r="427" spans="1:13" x14ac:dyDescent="0.3">
      <c r="A427" s="1" t="s">
        <v>92</v>
      </c>
      <c r="B427" s="2">
        <v>46056</v>
      </c>
      <c r="C427" s="1" t="s">
        <v>89</v>
      </c>
      <c r="D427" s="1" t="s">
        <v>65</v>
      </c>
      <c r="E427" s="1" t="s">
        <v>66</v>
      </c>
      <c r="F427" s="1" t="s">
        <v>40</v>
      </c>
      <c r="G427" s="1" t="s">
        <v>90</v>
      </c>
      <c r="H427" s="1" t="s">
        <v>77</v>
      </c>
      <c r="I427">
        <v>2</v>
      </c>
      <c r="J427">
        <v>210</v>
      </c>
      <c r="K427">
        <v>0</v>
      </c>
      <c r="L427">
        <v>420</v>
      </c>
      <c r="M427" s="1" t="s">
        <v>25</v>
      </c>
    </row>
    <row r="428" spans="1:13" x14ac:dyDescent="0.3">
      <c r="A428" s="1" t="s">
        <v>92</v>
      </c>
      <c r="B428" s="2">
        <v>46073</v>
      </c>
      <c r="C428" s="1" t="s">
        <v>89</v>
      </c>
      <c r="D428" s="1" t="s">
        <v>65</v>
      </c>
      <c r="E428" s="1" t="s">
        <v>66</v>
      </c>
      <c r="F428" s="1" t="s">
        <v>40</v>
      </c>
      <c r="G428" s="1" t="s">
        <v>90</v>
      </c>
      <c r="H428" s="1" t="s">
        <v>53</v>
      </c>
      <c r="I428">
        <v>1</v>
      </c>
      <c r="J428">
        <v>210</v>
      </c>
      <c r="K428">
        <v>0</v>
      </c>
      <c r="L428">
        <v>210</v>
      </c>
      <c r="M428" s="1" t="s">
        <v>33</v>
      </c>
    </row>
    <row r="429" spans="1:13" x14ac:dyDescent="0.3">
      <c r="A429" s="1" t="s">
        <v>92</v>
      </c>
      <c r="B429" s="2">
        <v>46058</v>
      </c>
      <c r="C429" s="1" t="s">
        <v>89</v>
      </c>
      <c r="D429" s="1" t="s">
        <v>15</v>
      </c>
      <c r="E429" s="1" t="s">
        <v>16</v>
      </c>
      <c r="F429" s="1" t="s">
        <v>17</v>
      </c>
      <c r="G429" s="1" t="s">
        <v>90</v>
      </c>
      <c r="H429" s="1" t="s">
        <v>84</v>
      </c>
      <c r="I429">
        <v>3</v>
      </c>
      <c r="J429">
        <v>60</v>
      </c>
      <c r="K429">
        <v>0</v>
      </c>
      <c r="L429">
        <v>180</v>
      </c>
      <c r="M429" s="1" t="s">
        <v>20</v>
      </c>
    </row>
    <row r="430" spans="1:13" x14ac:dyDescent="0.3">
      <c r="A430" s="1" t="s">
        <v>92</v>
      </c>
      <c r="B430" s="2">
        <v>46075</v>
      </c>
      <c r="C430" s="1" t="s">
        <v>89</v>
      </c>
      <c r="D430" s="1" t="s">
        <v>57</v>
      </c>
      <c r="E430" s="1" t="s">
        <v>58</v>
      </c>
      <c r="F430" s="1" t="s">
        <v>17</v>
      </c>
      <c r="G430" s="1" t="s">
        <v>91</v>
      </c>
      <c r="H430" s="1" t="s">
        <v>53</v>
      </c>
      <c r="I430">
        <v>3</v>
      </c>
      <c r="J430">
        <v>45</v>
      </c>
      <c r="K430">
        <v>0.05</v>
      </c>
      <c r="L430">
        <v>128.25</v>
      </c>
      <c r="M430" s="1" t="s">
        <v>20</v>
      </c>
    </row>
    <row r="431" spans="1:13" x14ac:dyDescent="0.3">
      <c r="A431" s="1" t="s">
        <v>92</v>
      </c>
      <c r="B431" s="2">
        <v>46067</v>
      </c>
      <c r="C431" s="1" t="s">
        <v>89</v>
      </c>
      <c r="D431" s="1" t="s">
        <v>34</v>
      </c>
      <c r="E431" s="1" t="s">
        <v>35</v>
      </c>
      <c r="F431" s="1" t="s">
        <v>28</v>
      </c>
      <c r="G431" s="1" t="s">
        <v>91</v>
      </c>
      <c r="H431" s="1" t="s">
        <v>83</v>
      </c>
      <c r="I431">
        <v>2</v>
      </c>
      <c r="J431">
        <v>120</v>
      </c>
      <c r="K431">
        <v>0.05</v>
      </c>
      <c r="L431">
        <v>228</v>
      </c>
      <c r="M431" s="1" t="s">
        <v>20</v>
      </c>
    </row>
    <row r="432" spans="1:13" x14ac:dyDescent="0.3">
      <c r="A432" s="1" t="s">
        <v>92</v>
      </c>
      <c r="B432" s="2">
        <v>46066</v>
      </c>
      <c r="C432" s="1" t="s">
        <v>89</v>
      </c>
      <c r="D432" s="1" t="s">
        <v>21</v>
      </c>
      <c r="E432" s="1" t="s">
        <v>22</v>
      </c>
      <c r="F432" s="1" t="s">
        <v>23</v>
      </c>
      <c r="G432" s="1" t="s">
        <v>91</v>
      </c>
      <c r="H432" s="1" t="s">
        <v>32</v>
      </c>
      <c r="I432">
        <v>5</v>
      </c>
      <c r="J432">
        <v>220</v>
      </c>
      <c r="K432">
        <v>0.1</v>
      </c>
      <c r="L432">
        <v>990</v>
      </c>
      <c r="M432" s="1" t="s">
        <v>33</v>
      </c>
    </row>
    <row r="433" spans="1:13" x14ac:dyDescent="0.3">
      <c r="A433" s="1" t="s">
        <v>92</v>
      </c>
      <c r="B433" s="2">
        <v>46072</v>
      </c>
      <c r="C433" s="1" t="s">
        <v>89</v>
      </c>
      <c r="D433" s="1" t="s">
        <v>21</v>
      </c>
      <c r="E433" s="1" t="s">
        <v>22</v>
      </c>
      <c r="F433" s="1" t="s">
        <v>23</v>
      </c>
      <c r="G433" s="1" t="s">
        <v>91</v>
      </c>
      <c r="H433" s="1" t="s">
        <v>80</v>
      </c>
      <c r="I433">
        <v>1</v>
      </c>
      <c r="J433">
        <v>220</v>
      </c>
      <c r="K433">
        <v>0.1</v>
      </c>
      <c r="L433">
        <v>198</v>
      </c>
      <c r="M433" s="1" t="s">
        <v>25</v>
      </c>
    </row>
    <row r="434" spans="1:13" x14ac:dyDescent="0.3">
      <c r="A434" s="1" t="s">
        <v>92</v>
      </c>
      <c r="B434" s="2">
        <v>46073</v>
      </c>
      <c r="C434" s="1" t="s">
        <v>89</v>
      </c>
      <c r="D434" s="1" t="s">
        <v>21</v>
      </c>
      <c r="E434" s="1" t="s">
        <v>22</v>
      </c>
      <c r="F434" s="1" t="s">
        <v>23</v>
      </c>
      <c r="G434" s="1" t="s">
        <v>90</v>
      </c>
      <c r="H434" s="1" t="s">
        <v>76</v>
      </c>
      <c r="I434">
        <v>3</v>
      </c>
      <c r="J434">
        <v>220</v>
      </c>
      <c r="K434">
        <v>0.1</v>
      </c>
      <c r="L434">
        <v>594</v>
      </c>
      <c r="M434" s="1" t="s">
        <v>37</v>
      </c>
    </row>
    <row r="435" spans="1:13" x14ac:dyDescent="0.3">
      <c r="A435" s="1" t="s">
        <v>92</v>
      </c>
      <c r="B435" s="2">
        <v>46064</v>
      </c>
      <c r="C435" s="1" t="s">
        <v>89</v>
      </c>
      <c r="D435" s="1" t="s">
        <v>54</v>
      </c>
      <c r="E435" s="1" t="s">
        <v>55</v>
      </c>
      <c r="F435" s="1" t="s">
        <v>23</v>
      </c>
      <c r="G435" s="1" t="s">
        <v>90</v>
      </c>
      <c r="H435" s="1" t="s">
        <v>19</v>
      </c>
      <c r="I435">
        <v>1</v>
      </c>
      <c r="J435">
        <v>75</v>
      </c>
      <c r="K435">
        <v>0</v>
      </c>
      <c r="L435">
        <v>75</v>
      </c>
      <c r="M435" s="1" t="s">
        <v>20</v>
      </c>
    </row>
    <row r="436" spans="1:13" x14ac:dyDescent="0.3">
      <c r="A436" s="1" t="s">
        <v>92</v>
      </c>
      <c r="B436" s="2">
        <v>46076</v>
      </c>
      <c r="C436" s="1" t="s">
        <v>89</v>
      </c>
      <c r="D436" s="1" t="s">
        <v>61</v>
      </c>
      <c r="E436" s="1" t="s">
        <v>62</v>
      </c>
      <c r="F436" s="1" t="s">
        <v>40</v>
      </c>
      <c r="G436" s="1" t="s">
        <v>90</v>
      </c>
      <c r="H436" s="1" t="s">
        <v>63</v>
      </c>
      <c r="I436">
        <v>3</v>
      </c>
      <c r="J436">
        <v>160</v>
      </c>
      <c r="K436">
        <v>0</v>
      </c>
      <c r="L436">
        <v>480</v>
      </c>
      <c r="M436" s="1" t="s">
        <v>25</v>
      </c>
    </row>
    <row r="437" spans="1:13" x14ac:dyDescent="0.3">
      <c r="A437" s="1" t="s">
        <v>92</v>
      </c>
      <c r="B437" s="2">
        <v>46077</v>
      </c>
      <c r="C437" s="1" t="s">
        <v>89</v>
      </c>
      <c r="D437" s="1" t="s">
        <v>47</v>
      </c>
      <c r="E437" s="1" t="s">
        <v>48</v>
      </c>
      <c r="F437" s="1" t="s">
        <v>45</v>
      </c>
      <c r="G437" s="1" t="s">
        <v>91</v>
      </c>
      <c r="H437" s="1" t="s">
        <v>81</v>
      </c>
      <c r="I437">
        <v>1</v>
      </c>
      <c r="J437">
        <v>85</v>
      </c>
      <c r="K437">
        <v>0</v>
      </c>
      <c r="L437">
        <v>85</v>
      </c>
      <c r="M437" s="1" t="s">
        <v>37</v>
      </c>
    </row>
    <row r="438" spans="1:13" x14ac:dyDescent="0.3">
      <c r="A438" s="1" t="s">
        <v>92</v>
      </c>
      <c r="B438" s="2">
        <v>46066</v>
      </c>
      <c r="C438" s="1" t="s">
        <v>89</v>
      </c>
      <c r="D438" s="1" t="s">
        <v>65</v>
      </c>
      <c r="E438" s="1" t="s">
        <v>66</v>
      </c>
      <c r="F438" s="1" t="s">
        <v>40</v>
      </c>
      <c r="G438" s="1" t="s">
        <v>90</v>
      </c>
      <c r="H438" s="1" t="s">
        <v>63</v>
      </c>
      <c r="I438">
        <v>4</v>
      </c>
      <c r="J438">
        <v>210</v>
      </c>
      <c r="K438">
        <v>0</v>
      </c>
      <c r="L438">
        <v>840</v>
      </c>
      <c r="M438" s="1" t="s">
        <v>33</v>
      </c>
    </row>
    <row r="439" spans="1:13" x14ac:dyDescent="0.3">
      <c r="A439" s="1" t="s">
        <v>92</v>
      </c>
      <c r="B439" s="2">
        <v>46055</v>
      </c>
      <c r="C439" s="1" t="s">
        <v>89</v>
      </c>
      <c r="D439" s="1" t="s">
        <v>21</v>
      </c>
      <c r="E439" s="1" t="s">
        <v>22</v>
      </c>
      <c r="F439" s="1" t="s">
        <v>23</v>
      </c>
      <c r="G439" s="1" t="s">
        <v>91</v>
      </c>
      <c r="H439" s="1" t="s">
        <v>87</v>
      </c>
      <c r="I439">
        <v>1</v>
      </c>
      <c r="J439">
        <v>220</v>
      </c>
      <c r="K439">
        <v>0.05</v>
      </c>
      <c r="L439">
        <v>209</v>
      </c>
      <c r="M439" s="1" t="s">
        <v>20</v>
      </c>
    </row>
    <row r="440" spans="1:13" x14ac:dyDescent="0.3">
      <c r="A440" s="1" t="s">
        <v>92</v>
      </c>
      <c r="B440" s="2">
        <v>46066</v>
      </c>
      <c r="C440" s="1" t="s">
        <v>89</v>
      </c>
      <c r="D440" s="1" t="s">
        <v>57</v>
      </c>
      <c r="E440" s="1" t="s">
        <v>58</v>
      </c>
      <c r="F440" s="1" t="s">
        <v>17</v>
      </c>
      <c r="G440" s="1" t="s">
        <v>90</v>
      </c>
      <c r="H440" s="1" t="s">
        <v>52</v>
      </c>
      <c r="I440">
        <v>1</v>
      </c>
      <c r="J440">
        <v>45</v>
      </c>
      <c r="K440">
        <v>0</v>
      </c>
      <c r="L440">
        <v>45</v>
      </c>
      <c r="M440" s="1" t="s">
        <v>25</v>
      </c>
    </row>
    <row r="441" spans="1:13" x14ac:dyDescent="0.3">
      <c r="A441" s="1" t="s">
        <v>92</v>
      </c>
      <c r="B441" s="2">
        <v>46076</v>
      </c>
      <c r="C441" s="1" t="s">
        <v>89</v>
      </c>
      <c r="D441" s="1" t="s">
        <v>34</v>
      </c>
      <c r="E441" s="1" t="s">
        <v>35</v>
      </c>
      <c r="F441" s="1" t="s">
        <v>28</v>
      </c>
      <c r="G441" s="1" t="s">
        <v>90</v>
      </c>
      <c r="H441" s="1" t="s">
        <v>75</v>
      </c>
      <c r="I441">
        <v>5</v>
      </c>
      <c r="J441">
        <v>120</v>
      </c>
      <c r="K441">
        <v>0.1</v>
      </c>
      <c r="L441">
        <v>540</v>
      </c>
      <c r="M441" s="1" t="s">
        <v>33</v>
      </c>
    </row>
    <row r="442" spans="1:13" x14ac:dyDescent="0.3">
      <c r="A442" s="1" t="s">
        <v>92</v>
      </c>
      <c r="B442" s="2">
        <v>46057</v>
      </c>
      <c r="C442" s="1" t="s">
        <v>89</v>
      </c>
      <c r="D442" s="1" t="s">
        <v>38</v>
      </c>
      <c r="E442" s="1" t="s">
        <v>39</v>
      </c>
      <c r="F442" s="1" t="s">
        <v>40</v>
      </c>
      <c r="G442" s="1" t="s">
        <v>91</v>
      </c>
      <c r="H442" s="1" t="s">
        <v>51</v>
      </c>
      <c r="I442">
        <v>4</v>
      </c>
      <c r="J442">
        <v>55</v>
      </c>
      <c r="K442">
        <v>0</v>
      </c>
      <c r="L442">
        <v>220</v>
      </c>
      <c r="M442" s="1" t="s">
        <v>37</v>
      </c>
    </row>
    <row r="443" spans="1:13" x14ac:dyDescent="0.3">
      <c r="A443" s="1" t="s">
        <v>92</v>
      </c>
      <c r="B443" s="2">
        <v>46063</v>
      </c>
      <c r="C443" s="1" t="s">
        <v>89</v>
      </c>
      <c r="D443" s="1" t="s">
        <v>47</v>
      </c>
      <c r="E443" s="1" t="s">
        <v>48</v>
      </c>
      <c r="F443" s="1" t="s">
        <v>45</v>
      </c>
      <c r="G443" s="1" t="s">
        <v>91</v>
      </c>
      <c r="H443" s="1" t="s">
        <v>82</v>
      </c>
      <c r="I443">
        <v>5</v>
      </c>
      <c r="J443">
        <v>85</v>
      </c>
      <c r="K443">
        <v>0</v>
      </c>
      <c r="L443">
        <v>425</v>
      </c>
      <c r="M443" s="1" t="s">
        <v>37</v>
      </c>
    </row>
    <row r="444" spans="1:13" x14ac:dyDescent="0.3">
      <c r="A444" s="1" t="s">
        <v>92</v>
      </c>
      <c r="B444" s="2">
        <v>46065</v>
      </c>
      <c r="C444" s="1" t="s">
        <v>89</v>
      </c>
      <c r="D444" s="1" t="s">
        <v>38</v>
      </c>
      <c r="E444" s="1" t="s">
        <v>39</v>
      </c>
      <c r="F444" s="1" t="s">
        <v>40</v>
      </c>
      <c r="G444" s="1" t="s">
        <v>90</v>
      </c>
      <c r="H444" s="1" t="s">
        <v>32</v>
      </c>
      <c r="I444">
        <v>4</v>
      </c>
      <c r="J444">
        <v>55</v>
      </c>
      <c r="K444">
        <v>0</v>
      </c>
      <c r="L444">
        <v>220</v>
      </c>
      <c r="M444" s="1" t="s">
        <v>37</v>
      </c>
    </row>
    <row r="445" spans="1:13" x14ac:dyDescent="0.3">
      <c r="A445" s="1" t="s">
        <v>92</v>
      </c>
      <c r="B445" s="2">
        <v>46074</v>
      </c>
      <c r="C445" s="1" t="s">
        <v>89</v>
      </c>
      <c r="D445" s="1" t="s">
        <v>21</v>
      </c>
      <c r="E445" s="1" t="s">
        <v>22</v>
      </c>
      <c r="F445" s="1" t="s">
        <v>23</v>
      </c>
      <c r="G445" s="1" t="s">
        <v>91</v>
      </c>
      <c r="H445" s="1" t="s">
        <v>42</v>
      </c>
      <c r="I445">
        <v>1</v>
      </c>
      <c r="J445">
        <v>220</v>
      </c>
      <c r="K445">
        <v>0</v>
      </c>
      <c r="L445">
        <v>220</v>
      </c>
      <c r="M445" s="1" t="s">
        <v>25</v>
      </c>
    </row>
    <row r="446" spans="1:13" x14ac:dyDescent="0.3">
      <c r="A446" s="1" t="s">
        <v>92</v>
      </c>
      <c r="B446" s="2">
        <v>46075</v>
      </c>
      <c r="C446" s="1" t="s">
        <v>89</v>
      </c>
      <c r="D446" s="1" t="s">
        <v>34</v>
      </c>
      <c r="E446" s="1" t="s">
        <v>35</v>
      </c>
      <c r="F446" s="1" t="s">
        <v>28</v>
      </c>
      <c r="G446" s="1" t="s">
        <v>91</v>
      </c>
      <c r="H446" s="1" t="s">
        <v>52</v>
      </c>
      <c r="I446">
        <v>4</v>
      </c>
      <c r="J446">
        <v>120</v>
      </c>
      <c r="K446">
        <v>0</v>
      </c>
      <c r="L446">
        <v>480</v>
      </c>
      <c r="M446" s="1" t="s">
        <v>37</v>
      </c>
    </row>
    <row r="447" spans="1:13" x14ac:dyDescent="0.3">
      <c r="A447" s="1" t="s">
        <v>92</v>
      </c>
      <c r="B447" s="2">
        <v>46068</v>
      </c>
      <c r="C447" s="1" t="s">
        <v>89</v>
      </c>
      <c r="D447" s="1" t="s">
        <v>21</v>
      </c>
      <c r="E447" s="1" t="s">
        <v>22</v>
      </c>
      <c r="F447" s="1" t="s">
        <v>23</v>
      </c>
      <c r="G447" s="1" t="s">
        <v>90</v>
      </c>
      <c r="H447" s="1" t="s">
        <v>60</v>
      </c>
      <c r="I447">
        <v>4</v>
      </c>
      <c r="J447">
        <v>220</v>
      </c>
      <c r="K447">
        <v>0</v>
      </c>
      <c r="L447">
        <v>880</v>
      </c>
      <c r="M447" s="1" t="s">
        <v>20</v>
      </c>
    </row>
    <row r="448" spans="1:13" x14ac:dyDescent="0.3">
      <c r="A448" s="1" t="s">
        <v>92</v>
      </c>
      <c r="B448" s="2">
        <v>46058</v>
      </c>
      <c r="C448" s="1" t="s">
        <v>89</v>
      </c>
      <c r="D448" s="1" t="s">
        <v>21</v>
      </c>
      <c r="E448" s="1" t="s">
        <v>22</v>
      </c>
      <c r="F448" s="1" t="s">
        <v>23</v>
      </c>
      <c r="G448" s="1" t="s">
        <v>90</v>
      </c>
      <c r="H448" s="1" t="s">
        <v>46</v>
      </c>
      <c r="I448">
        <v>3</v>
      </c>
      <c r="J448">
        <v>220</v>
      </c>
      <c r="K448">
        <v>0.05</v>
      </c>
      <c r="L448">
        <v>627</v>
      </c>
      <c r="M448" s="1" t="s">
        <v>37</v>
      </c>
    </row>
    <row r="449" spans="1:13" x14ac:dyDescent="0.3">
      <c r="A449" s="1" t="s">
        <v>92</v>
      </c>
      <c r="B449" s="2">
        <v>46055</v>
      </c>
      <c r="C449" s="1" t="s">
        <v>89</v>
      </c>
      <c r="D449" s="1" t="s">
        <v>57</v>
      </c>
      <c r="E449" s="1" t="s">
        <v>58</v>
      </c>
      <c r="F449" s="1" t="s">
        <v>17</v>
      </c>
      <c r="G449" s="1" t="s">
        <v>91</v>
      </c>
      <c r="H449" s="1" t="s">
        <v>78</v>
      </c>
      <c r="I449">
        <v>5</v>
      </c>
      <c r="J449">
        <v>45</v>
      </c>
      <c r="K449">
        <v>0</v>
      </c>
      <c r="L449">
        <v>225</v>
      </c>
      <c r="M449" s="1" t="s">
        <v>37</v>
      </c>
    </row>
    <row r="450" spans="1:13" x14ac:dyDescent="0.3">
      <c r="A450" s="1" t="s">
        <v>92</v>
      </c>
      <c r="B450" s="2">
        <v>46056</v>
      </c>
      <c r="C450" s="1" t="s">
        <v>89</v>
      </c>
      <c r="D450" s="1" t="s">
        <v>38</v>
      </c>
      <c r="E450" s="1" t="s">
        <v>39</v>
      </c>
      <c r="F450" s="1" t="s">
        <v>40</v>
      </c>
      <c r="G450" s="1" t="s">
        <v>91</v>
      </c>
      <c r="H450" s="1" t="s">
        <v>67</v>
      </c>
      <c r="I450">
        <v>2</v>
      </c>
      <c r="J450">
        <v>55</v>
      </c>
      <c r="K450">
        <v>0</v>
      </c>
      <c r="L450">
        <v>110</v>
      </c>
      <c r="M450" s="1" t="s">
        <v>25</v>
      </c>
    </row>
    <row r="451" spans="1:13" x14ac:dyDescent="0.3">
      <c r="A451" s="1" t="s">
        <v>92</v>
      </c>
      <c r="B451" s="2">
        <v>46075</v>
      </c>
      <c r="C451" s="1" t="s">
        <v>89</v>
      </c>
      <c r="D451" s="1" t="s">
        <v>65</v>
      </c>
      <c r="E451" s="1" t="s">
        <v>66</v>
      </c>
      <c r="F451" s="1" t="s">
        <v>40</v>
      </c>
      <c r="G451" s="1" t="s">
        <v>90</v>
      </c>
      <c r="H451" s="1" t="s">
        <v>80</v>
      </c>
      <c r="I451">
        <v>5</v>
      </c>
      <c r="J451">
        <v>210</v>
      </c>
      <c r="K451">
        <v>0.1</v>
      </c>
      <c r="L451">
        <v>945</v>
      </c>
      <c r="M451" s="1" t="s">
        <v>37</v>
      </c>
    </row>
    <row r="452" spans="1:13" x14ac:dyDescent="0.3">
      <c r="A452" s="1" t="s">
        <v>92</v>
      </c>
      <c r="B452" s="2">
        <v>46079</v>
      </c>
      <c r="C452" s="1" t="s">
        <v>89</v>
      </c>
      <c r="D452" s="1" t="s">
        <v>21</v>
      </c>
      <c r="E452" s="1" t="s">
        <v>22</v>
      </c>
      <c r="F452" s="1" t="s">
        <v>23</v>
      </c>
      <c r="G452" s="1" t="s">
        <v>90</v>
      </c>
      <c r="H452" s="1" t="s">
        <v>78</v>
      </c>
      <c r="I452">
        <v>2</v>
      </c>
      <c r="J452">
        <v>220</v>
      </c>
      <c r="K452">
        <v>0.15</v>
      </c>
      <c r="L452">
        <v>374</v>
      </c>
      <c r="M452" s="1" t="s">
        <v>25</v>
      </c>
    </row>
    <row r="453" spans="1:13" x14ac:dyDescent="0.3">
      <c r="A453" s="1" t="s">
        <v>92</v>
      </c>
      <c r="B453" s="2">
        <v>46080</v>
      </c>
      <c r="C453" s="1" t="s">
        <v>89</v>
      </c>
      <c r="D453" s="1" t="s">
        <v>57</v>
      </c>
      <c r="E453" s="1" t="s">
        <v>58</v>
      </c>
      <c r="F453" s="1" t="s">
        <v>17</v>
      </c>
      <c r="G453" s="1" t="s">
        <v>90</v>
      </c>
      <c r="H453" s="1" t="s">
        <v>85</v>
      </c>
      <c r="I453">
        <v>4</v>
      </c>
      <c r="J453">
        <v>45</v>
      </c>
      <c r="K453">
        <v>0</v>
      </c>
      <c r="L453">
        <v>180</v>
      </c>
      <c r="M453" s="1" t="s">
        <v>20</v>
      </c>
    </row>
    <row r="454" spans="1:13" x14ac:dyDescent="0.3">
      <c r="A454" s="1" t="s">
        <v>92</v>
      </c>
      <c r="B454" s="2">
        <v>46071</v>
      </c>
      <c r="C454" s="1" t="s">
        <v>89</v>
      </c>
      <c r="D454" s="1" t="s">
        <v>15</v>
      </c>
      <c r="E454" s="1" t="s">
        <v>16</v>
      </c>
      <c r="F454" s="1" t="s">
        <v>17</v>
      </c>
      <c r="G454" s="1" t="s">
        <v>91</v>
      </c>
      <c r="H454" s="1" t="s">
        <v>84</v>
      </c>
      <c r="I454">
        <v>1</v>
      </c>
      <c r="J454">
        <v>60</v>
      </c>
      <c r="K454">
        <v>0</v>
      </c>
      <c r="L454">
        <v>60</v>
      </c>
      <c r="M454" s="1" t="s">
        <v>20</v>
      </c>
    </row>
    <row r="455" spans="1:13" x14ac:dyDescent="0.3">
      <c r="A455" s="1" t="s">
        <v>92</v>
      </c>
      <c r="B455" s="2">
        <v>46073</v>
      </c>
      <c r="C455" s="1" t="s">
        <v>89</v>
      </c>
      <c r="D455" s="1" t="s">
        <v>65</v>
      </c>
      <c r="E455" s="1" t="s">
        <v>66</v>
      </c>
      <c r="F455" s="1" t="s">
        <v>40</v>
      </c>
      <c r="G455" s="1" t="s">
        <v>91</v>
      </c>
      <c r="H455" s="1" t="s">
        <v>24</v>
      </c>
      <c r="I455">
        <v>1</v>
      </c>
      <c r="J455">
        <v>210</v>
      </c>
      <c r="K455">
        <v>0.05</v>
      </c>
      <c r="L455">
        <v>199.5</v>
      </c>
      <c r="M455" s="1" t="s">
        <v>33</v>
      </c>
    </row>
    <row r="456" spans="1:13" x14ac:dyDescent="0.3">
      <c r="A456" s="1" t="s">
        <v>92</v>
      </c>
      <c r="B456" s="2">
        <v>46057</v>
      </c>
      <c r="C456" s="1" t="s">
        <v>89</v>
      </c>
      <c r="D456" s="1" t="s">
        <v>38</v>
      </c>
      <c r="E456" s="1" t="s">
        <v>39</v>
      </c>
      <c r="F456" s="1" t="s">
        <v>40</v>
      </c>
      <c r="G456" s="1" t="s">
        <v>90</v>
      </c>
      <c r="H456" s="1" t="s">
        <v>76</v>
      </c>
      <c r="I456">
        <v>5</v>
      </c>
      <c r="J456">
        <v>55</v>
      </c>
      <c r="K456">
        <v>0.05</v>
      </c>
      <c r="L456">
        <v>261.25</v>
      </c>
      <c r="M456" s="1" t="s">
        <v>20</v>
      </c>
    </row>
    <row r="457" spans="1:13" x14ac:dyDescent="0.3">
      <c r="A457" s="1" t="s">
        <v>92</v>
      </c>
      <c r="B457" s="2">
        <v>46062</v>
      </c>
      <c r="C457" s="1" t="s">
        <v>89</v>
      </c>
      <c r="D457" s="1" t="s">
        <v>72</v>
      </c>
      <c r="E457" s="1" t="s">
        <v>73</v>
      </c>
      <c r="F457" s="1" t="s">
        <v>17</v>
      </c>
      <c r="G457" s="1" t="s">
        <v>91</v>
      </c>
      <c r="H457" s="1" t="s">
        <v>64</v>
      </c>
      <c r="I457">
        <v>3</v>
      </c>
      <c r="J457">
        <v>170</v>
      </c>
      <c r="K457">
        <v>0.1</v>
      </c>
      <c r="L457">
        <v>459</v>
      </c>
      <c r="M457" s="1" t="s">
        <v>37</v>
      </c>
    </row>
    <row r="458" spans="1:13" x14ac:dyDescent="0.3">
      <c r="A458" s="1" t="s">
        <v>92</v>
      </c>
      <c r="B458" s="2">
        <v>46073</v>
      </c>
      <c r="C458" s="1" t="s">
        <v>89</v>
      </c>
      <c r="D458" s="1" t="s">
        <v>30</v>
      </c>
      <c r="E458" s="1" t="s">
        <v>31</v>
      </c>
      <c r="F458" s="1" t="s">
        <v>23</v>
      </c>
      <c r="G458" s="1" t="s">
        <v>91</v>
      </c>
      <c r="H458" s="1" t="s">
        <v>81</v>
      </c>
      <c r="I458">
        <v>3</v>
      </c>
      <c r="J458">
        <v>2800</v>
      </c>
      <c r="K458">
        <v>0</v>
      </c>
      <c r="L458">
        <v>8400</v>
      </c>
      <c r="M458" s="1" t="s">
        <v>20</v>
      </c>
    </row>
    <row r="459" spans="1:13" x14ac:dyDescent="0.3">
      <c r="A459" s="1" t="s">
        <v>92</v>
      </c>
      <c r="B459" s="2">
        <v>46062</v>
      </c>
      <c r="C459" s="1" t="s">
        <v>89</v>
      </c>
      <c r="D459" s="1" t="s">
        <v>43</v>
      </c>
      <c r="E459" s="1" t="s">
        <v>44</v>
      </c>
      <c r="F459" s="1" t="s">
        <v>45</v>
      </c>
      <c r="G459" s="1" t="s">
        <v>91</v>
      </c>
      <c r="H459" s="1" t="s">
        <v>87</v>
      </c>
      <c r="I459">
        <v>1</v>
      </c>
      <c r="J459">
        <v>140</v>
      </c>
      <c r="K459">
        <v>0.05</v>
      </c>
      <c r="L459">
        <v>133</v>
      </c>
      <c r="M459" s="1" t="s">
        <v>20</v>
      </c>
    </row>
    <row r="460" spans="1:13" x14ac:dyDescent="0.3">
      <c r="A460" s="1" t="s">
        <v>92</v>
      </c>
      <c r="B460" s="2">
        <v>46075</v>
      </c>
      <c r="C460" s="1" t="s">
        <v>89</v>
      </c>
      <c r="D460" s="1" t="s">
        <v>34</v>
      </c>
      <c r="E460" s="1" t="s">
        <v>35</v>
      </c>
      <c r="F460" s="1" t="s">
        <v>28</v>
      </c>
      <c r="G460" s="1" t="s">
        <v>90</v>
      </c>
      <c r="H460" s="1" t="s">
        <v>77</v>
      </c>
      <c r="I460">
        <v>4</v>
      </c>
      <c r="J460">
        <v>120</v>
      </c>
      <c r="K460">
        <v>0.1</v>
      </c>
      <c r="L460">
        <v>432</v>
      </c>
      <c r="M460" s="1" t="s">
        <v>33</v>
      </c>
    </row>
    <row r="461" spans="1:13" x14ac:dyDescent="0.3">
      <c r="A461" s="1" t="s">
        <v>92</v>
      </c>
      <c r="B461" s="2">
        <v>46064</v>
      </c>
      <c r="C461" s="1" t="s">
        <v>89</v>
      </c>
      <c r="D461" s="1" t="s">
        <v>34</v>
      </c>
      <c r="E461" s="1" t="s">
        <v>35</v>
      </c>
      <c r="F461" s="1" t="s">
        <v>28</v>
      </c>
      <c r="G461" s="1" t="s">
        <v>91</v>
      </c>
      <c r="H461" s="1" t="s">
        <v>74</v>
      </c>
      <c r="I461">
        <v>4</v>
      </c>
      <c r="J461">
        <v>120</v>
      </c>
      <c r="K461">
        <v>0.05</v>
      </c>
      <c r="L461">
        <v>456</v>
      </c>
      <c r="M461" s="1" t="s">
        <v>25</v>
      </c>
    </row>
    <row r="462" spans="1:13" x14ac:dyDescent="0.3">
      <c r="A462" s="1" t="s">
        <v>92</v>
      </c>
      <c r="B462" s="2">
        <v>46067</v>
      </c>
      <c r="C462" s="1" t="s">
        <v>89</v>
      </c>
      <c r="D462" s="1" t="s">
        <v>21</v>
      </c>
      <c r="E462" s="1" t="s">
        <v>22</v>
      </c>
      <c r="F462" s="1" t="s">
        <v>23</v>
      </c>
      <c r="G462" s="1" t="s">
        <v>91</v>
      </c>
      <c r="H462" s="1" t="s">
        <v>84</v>
      </c>
      <c r="I462">
        <v>2</v>
      </c>
      <c r="J462">
        <v>220</v>
      </c>
      <c r="K462">
        <v>0.1</v>
      </c>
      <c r="L462">
        <v>396</v>
      </c>
      <c r="M462" s="1" t="s">
        <v>20</v>
      </c>
    </row>
    <row r="463" spans="1:13" x14ac:dyDescent="0.3">
      <c r="A463" s="1" t="s">
        <v>92</v>
      </c>
      <c r="B463" s="2">
        <v>46056</v>
      </c>
      <c r="C463" s="1" t="s">
        <v>89</v>
      </c>
      <c r="D463" s="1" t="s">
        <v>72</v>
      </c>
      <c r="E463" s="1" t="s">
        <v>73</v>
      </c>
      <c r="F463" s="1" t="s">
        <v>17</v>
      </c>
      <c r="G463" s="1" t="s">
        <v>91</v>
      </c>
      <c r="H463" s="1" t="s">
        <v>56</v>
      </c>
      <c r="I463">
        <v>5</v>
      </c>
      <c r="J463">
        <v>170</v>
      </c>
      <c r="K463">
        <v>0.05</v>
      </c>
      <c r="L463">
        <v>807.5</v>
      </c>
      <c r="M463" s="1" t="s">
        <v>33</v>
      </c>
    </row>
    <row r="464" spans="1:13" x14ac:dyDescent="0.3">
      <c r="A464" s="1" t="s">
        <v>92</v>
      </c>
      <c r="B464" s="2">
        <v>46054</v>
      </c>
      <c r="C464" s="1" t="s">
        <v>89</v>
      </c>
      <c r="D464" s="1" t="s">
        <v>49</v>
      </c>
      <c r="E464" s="1" t="s">
        <v>50</v>
      </c>
      <c r="F464" s="1" t="s">
        <v>45</v>
      </c>
      <c r="G464" s="1" t="s">
        <v>90</v>
      </c>
      <c r="H464" s="1" t="s">
        <v>36</v>
      </c>
      <c r="I464">
        <v>5</v>
      </c>
      <c r="J464">
        <v>35</v>
      </c>
      <c r="K464">
        <v>0.1</v>
      </c>
      <c r="L464">
        <v>157.5</v>
      </c>
      <c r="M464" s="1" t="s">
        <v>33</v>
      </c>
    </row>
    <row r="465" spans="1:13" x14ac:dyDescent="0.3">
      <c r="A465" s="1" t="s">
        <v>92</v>
      </c>
      <c r="B465" s="2">
        <v>46055</v>
      </c>
      <c r="C465" s="1" t="s">
        <v>89</v>
      </c>
      <c r="D465" s="1" t="s">
        <v>72</v>
      </c>
      <c r="E465" s="1" t="s">
        <v>73</v>
      </c>
      <c r="F465" s="1" t="s">
        <v>17</v>
      </c>
      <c r="G465" s="1" t="s">
        <v>91</v>
      </c>
      <c r="H465" s="1" t="s">
        <v>85</v>
      </c>
      <c r="I465">
        <v>2</v>
      </c>
      <c r="J465">
        <v>170</v>
      </c>
      <c r="K465">
        <v>0</v>
      </c>
      <c r="L465">
        <v>340</v>
      </c>
      <c r="M465" s="1" t="s">
        <v>20</v>
      </c>
    </row>
    <row r="466" spans="1:13" x14ac:dyDescent="0.3">
      <c r="A466" s="1" t="s">
        <v>92</v>
      </c>
      <c r="B466" s="2">
        <v>46057</v>
      </c>
      <c r="C466" s="1" t="s">
        <v>89</v>
      </c>
      <c r="D466" s="1" t="s">
        <v>72</v>
      </c>
      <c r="E466" s="1" t="s">
        <v>73</v>
      </c>
      <c r="F466" s="1" t="s">
        <v>17</v>
      </c>
      <c r="G466" s="1" t="s">
        <v>90</v>
      </c>
      <c r="H466" s="1" t="s">
        <v>42</v>
      </c>
      <c r="I466">
        <v>5</v>
      </c>
      <c r="J466">
        <v>170</v>
      </c>
      <c r="K466">
        <v>0</v>
      </c>
      <c r="L466">
        <v>850</v>
      </c>
      <c r="M466" s="1" t="s">
        <v>37</v>
      </c>
    </row>
    <row r="467" spans="1:13" x14ac:dyDescent="0.3">
      <c r="A467" s="1" t="s">
        <v>92</v>
      </c>
      <c r="B467" s="2">
        <v>46065</v>
      </c>
      <c r="C467" s="1" t="s">
        <v>89</v>
      </c>
      <c r="D467" s="1" t="s">
        <v>21</v>
      </c>
      <c r="E467" s="1" t="s">
        <v>22</v>
      </c>
      <c r="F467" s="1" t="s">
        <v>23</v>
      </c>
      <c r="G467" s="1" t="s">
        <v>91</v>
      </c>
      <c r="H467" s="1" t="s">
        <v>81</v>
      </c>
      <c r="I467">
        <v>4</v>
      </c>
      <c r="J467">
        <v>220</v>
      </c>
      <c r="K467">
        <v>0.05</v>
      </c>
      <c r="L467">
        <v>836</v>
      </c>
      <c r="M467" s="1" t="s">
        <v>20</v>
      </c>
    </row>
    <row r="468" spans="1:13" x14ac:dyDescent="0.3">
      <c r="A468" s="1" t="s">
        <v>92</v>
      </c>
      <c r="B468" s="2">
        <v>46066</v>
      </c>
      <c r="C468" s="1" t="s">
        <v>89</v>
      </c>
      <c r="D468" s="1" t="s">
        <v>47</v>
      </c>
      <c r="E468" s="1" t="s">
        <v>48</v>
      </c>
      <c r="F468" s="1" t="s">
        <v>45</v>
      </c>
      <c r="G468" s="1" t="s">
        <v>90</v>
      </c>
      <c r="H468" s="1" t="s">
        <v>64</v>
      </c>
      <c r="I468">
        <v>1</v>
      </c>
      <c r="J468">
        <v>85</v>
      </c>
      <c r="K468">
        <v>0</v>
      </c>
      <c r="L468">
        <v>85</v>
      </c>
      <c r="M468" s="1" t="s">
        <v>33</v>
      </c>
    </row>
    <row r="469" spans="1:13" x14ac:dyDescent="0.3">
      <c r="A469" s="1" t="s">
        <v>92</v>
      </c>
      <c r="B469" s="2">
        <v>46062</v>
      </c>
      <c r="C469" s="1" t="s">
        <v>89</v>
      </c>
      <c r="D469" s="1" t="s">
        <v>72</v>
      </c>
      <c r="E469" s="1" t="s">
        <v>73</v>
      </c>
      <c r="F469" s="1" t="s">
        <v>17</v>
      </c>
      <c r="G469" s="1" t="s">
        <v>91</v>
      </c>
      <c r="H469" s="1" t="s">
        <v>84</v>
      </c>
      <c r="I469">
        <v>2</v>
      </c>
      <c r="J469">
        <v>170</v>
      </c>
      <c r="K469">
        <v>0.05</v>
      </c>
      <c r="L469">
        <v>323</v>
      </c>
      <c r="M469" s="1" t="s">
        <v>25</v>
      </c>
    </row>
    <row r="470" spans="1:13" x14ac:dyDescent="0.3">
      <c r="A470" s="1" t="s">
        <v>92</v>
      </c>
      <c r="B470" s="2">
        <v>46073</v>
      </c>
      <c r="C470" s="1" t="s">
        <v>89</v>
      </c>
      <c r="D470" s="1" t="s">
        <v>61</v>
      </c>
      <c r="E470" s="1" t="s">
        <v>62</v>
      </c>
      <c r="F470" s="1" t="s">
        <v>40</v>
      </c>
      <c r="G470" s="1" t="s">
        <v>90</v>
      </c>
      <c r="H470" s="1" t="s">
        <v>74</v>
      </c>
      <c r="I470">
        <v>2</v>
      </c>
      <c r="J470">
        <v>160</v>
      </c>
      <c r="K470">
        <v>0.05</v>
      </c>
      <c r="L470">
        <v>304</v>
      </c>
      <c r="M470" s="1" t="s">
        <v>20</v>
      </c>
    </row>
    <row r="471" spans="1:13" x14ac:dyDescent="0.3">
      <c r="A471" s="1" t="s">
        <v>92</v>
      </c>
      <c r="B471" s="2">
        <v>46066</v>
      </c>
      <c r="C471" s="1" t="s">
        <v>89</v>
      </c>
      <c r="D471" s="1" t="s">
        <v>47</v>
      </c>
      <c r="E471" s="1" t="s">
        <v>48</v>
      </c>
      <c r="F471" s="1" t="s">
        <v>45</v>
      </c>
      <c r="G471" s="1" t="s">
        <v>91</v>
      </c>
      <c r="H471" s="1" t="s">
        <v>51</v>
      </c>
      <c r="I471">
        <v>3</v>
      </c>
      <c r="J471">
        <v>85</v>
      </c>
      <c r="K471">
        <v>0</v>
      </c>
      <c r="L471">
        <v>255</v>
      </c>
      <c r="M471" s="1" t="s">
        <v>37</v>
      </c>
    </row>
    <row r="472" spans="1:13" x14ac:dyDescent="0.3">
      <c r="A472" s="1" t="s">
        <v>92</v>
      </c>
      <c r="B472" s="2">
        <v>46066</v>
      </c>
      <c r="C472" s="1" t="s">
        <v>89</v>
      </c>
      <c r="D472" s="1" t="s">
        <v>34</v>
      </c>
      <c r="E472" s="1" t="s">
        <v>35</v>
      </c>
      <c r="F472" s="1" t="s">
        <v>28</v>
      </c>
      <c r="G472" s="1" t="s">
        <v>90</v>
      </c>
      <c r="H472" s="1" t="s">
        <v>87</v>
      </c>
      <c r="I472">
        <v>5</v>
      </c>
      <c r="J472">
        <v>120</v>
      </c>
      <c r="K472">
        <v>0.1</v>
      </c>
      <c r="L472">
        <v>540</v>
      </c>
      <c r="M472" s="1" t="s">
        <v>20</v>
      </c>
    </row>
    <row r="473" spans="1:13" x14ac:dyDescent="0.3">
      <c r="A473" s="1" t="s">
        <v>92</v>
      </c>
      <c r="B473" s="2">
        <v>46063</v>
      </c>
      <c r="C473" s="1" t="s">
        <v>89</v>
      </c>
      <c r="D473" s="1" t="s">
        <v>38</v>
      </c>
      <c r="E473" s="1" t="s">
        <v>39</v>
      </c>
      <c r="F473" s="1" t="s">
        <v>40</v>
      </c>
      <c r="G473" s="1" t="s">
        <v>90</v>
      </c>
      <c r="H473" s="1" t="s">
        <v>53</v>
      </c>
      <c r="I473">
        <v>5</v>
      </c>
      <c r="J473">
        <v>55</v>
      </c>
      <c r="K473">
        <v>0.05</v>
      </c>
      <c r="L473">
        <v>261.25</v>
      </c>
      <c r="M473" s="1" t="s">
        <v>20</v>
      </c>
    </row>
    <row r="474" spans="1:13" x14ac:dyDescent="0.3">
      <c r="A474" s="1" t="s">
        <v>92</v>
      </c>
      <c r="B474" s="2">
        <v>46076</v>
      </c>
      <c r="C474" s="1" t="s">
        <v>89</v>
      </c>
      <c r="D474" s="1" t="s">
        <v>43</v>
      </c>
      <c r="E474" s="1" t="s">
        <v>44</v>
      </c>
      <c r="F474" s="1" t="s">
        <v>45</v>
      </c>
      <c r="G474" s="1" t="s">
        <v>91</v>
      </c>
      <c r="H474" s="1" t="s">
        <v>71</v>
      </c>
      <c r="I474">
        <v>3</v>
      </c>
      <c r="J474">
        <v>140</v>
      </c>
      <c r="K474">
        <v>0</v>
      </c>
      <c r="L474">
        <v>420</v>
      </c>
      <c r="M474" s="1" t="s">
        <v>33</v>
      </c>
    </row>
    <row r="475" spans="1:13" x14ac:dyDescent="0.3">
      <c r="A475" s="1" t="s">
        <v>92</v>
      </c>
      <c r="B475" s="2">
        <v>46064</v>
      </c>
      <c r="C475" s="1" t="s">
        <v>89</v>
      </c>
      <c r="D475" s="1" t="s">
        <v>15</v>
      </c>
      <c r="E475" s="1" t="s">
        <v>16</v>
      </c>
      <c r="F475" s="1" t="s">
        <v>17</v>
      </c>
      <c r="G475" s="1" t="s">
        <v>90</v>
      </c>
      <c r="H475" s="1" t="s">
        <v>75</v>
      </c>
      <c r="I475">
        <v>5</v>
      </c>
      <c r="J475">
        <v>60</v>
      </c>
      <c r="K475">
        <v>0</v>
      </c>
      <c r="L475">
        <v>300</v>
      </c>
      <c r="M475" s="1" t="s">
        <v>37</v>
      </c>
    </row>
    <row r="476" spans="1:13" x14ac:dyDescent="0.3">
      <c r="A476" s="1" t="s">
        <v>92</v>
      </c>
      <c r="B476" s="2">
        <v>46066</v>
      </c>
      <c r="C476" s="1" t="s">
        <v>89</v>
      </c>
      <c r="D476" s="1" t="s">
        <v>57</v>
      </c>
      <c r="E476" s="1" t="s">
        <v>58</v>
      </c>
      <c r="F476" s="1" t="s">
        <v>17</v>
      </c>
      <c r="G476" s="1" t="s">
        <v>91</v>
      </c>
      <c r="H476" s="1" t="s">
        <v>64</v>
      </c>
      <c r="I476">
        <v>3</v>
      </c>
      <c r="J476">
        <v>45</v>
      </c>
      <c r="K476">
        <v>0.1</v>
      </c>
      <c r="L476">
        <v>121.5</v>
      </c>
      <c r="M476" s="1" t="s">
        <v>33</v>
      </c>
    </row>
    <row r="477" spans="1:13" x14ac:dyDescent="0.3">
      <c r="A477" s="1" t="s">
        <v>92</v>
      </c>
      <c r="B477" s="2">
        <v>46074</v>
      </c>
      <c r="C477" s="1" t="s">
        <v>89</v>
      </c>
      <c r="D477" s="1" t="s">
        <v>34</v>
      </c>
      <c r="E477" s="1" t="s">
        <v>35</v>
      </c>
      <c r="F477" s="1" t="s">
        <v>28</v>
      </c>
      <c r="G477" s="1" t="s">
        <v>91</v>
      </c>
      <c r="H477" s="1" t="s">
        <v>79</v>
      </c>
      <c r="I477">
        <v>2</v>
      </c>
      <c r="J477">
        <v>120</v>
      </c>
      <c r="K477">
        <v>0.05</v>
      </c>
      <c r="L477">
        <v>228</v>
      </c>
      <c r="M477" s="1" t="s">
        <v>20</v>
      </c>
    </row>
    <row r="478" spans="1:13" x14ac:dyDescent="0.3">
      <c r="A478" s="1" t="s">
        <v>92</v>
      </c>
      <c r="B478" s="2">
        <v>46071</v>
      </c>
      <c r="C478" s="1" t="s">
        <v>89</v>
      </c>
      <c r="D478" s="1" t="s">
        <v>65</v>
      </c>
      <c r="E478" s="1" t="s">
        <v>66</v>
      </c>
      <c r="F478" s="1" t="s">
        <v>40</v>
      </c>
      <c r="G478" s="1" t="s">
        <v>90</v>
      </c>
      <c r="H478" s="1" t="s">
        <v>42</v>
      </c>
      <c r="I478">
        <v>2</v>
      </c>
      <c r="J478">
        <v>210</v>
      </c>
      <c r="K478">
        <v>0.1</v>
      </c>
      <c r="L478">
        <v>378</v>
      </c>
      <c r="M478" s="1" t="s">
        <v>33</v>
      </c>
    </row>
    <row r="479" spans="1:13" x14ac:dyDescent="0.3">
      <c r="A479" s="1" t="s">
        <v>92</v>
      </c>
      <c r="B479" s="2">
        <v>46059</v>
      </c>
      <c r="C479" s="1" t="s">
        <v>89</v>
      </c>
      <c r="D479" s="1" t="s">
        <v>47</v>
      </c>
      <c r="E479" s="1" t="s">
        <v>48</v>
      </c>
      <c r="F479" s="1" t="s">
        <v>45</v>
      </c>
      <c r="G479" s="1" t="s">
        <v>91</v>
      </c>
      <c r="H479" s="1" t="s">
        <v>77</v>
      </c>
      <c r="I479">
        <v>5</v>
      </c>
      <c r="J479">
        <v>85</v>
      </c>
      <c r="K479">
        <v>0.05</v>
      </c>
      <c r="L479">
        <v>403.75</v>
      </c>
      <c r="M479" s="1" t="s">
        <v>20</v>
      </c>
    </row>
    <row r="480" spans="1:13" x14ac:dyDescent="0.3">
      <c r="A480" s="1" t="s">
        <v>92</v>
      </c>
      <c r="B480" s="2">
        <v>46064</v>
      </c>
      <c r="C480" s="1" t="s">
        <v>89</v>
      </c>
      <c r="D480" s="1" t="s">
        <v>21</v>
      </c>
      <c r="E480" s="1" t="s">
        <v>22</v>
      </c>
      <c r="F480" s="1" t="s">
        <v>23</v>
      </c>
      <c r="G480" s="1" t="s">
        <v>91</v>
      </c>
      <c r="H480" s="1" t="s">
        <v>32</v>
      </c>
      <c r="I480">
        <v>3</v>
      </c>
      <c r="J480">
        <v>220</v>
      </c>
      <c r="K480">
        <v>0</v>
      </c>
      <c r="L480">
        <v>660</v>
      </c>
      <c r="M480" s="1" t="s">
        <v>37</v>
      </c>
    </row>
    <row r="481" spans="1:13" x14ac:dyDescent="0.3">
      <c r="A481" s="1" t="s">
        <v>92</v>
      </c>
      <c r="B481" s="2">
        <v>46074</v>
      </c>
      <c r="C481" s="1" t="s">
        <v>89</v>
      </c>
      <c r="D481" s="1" t="s">
        <v>72</v>
      </c>
      <c r="E481" s="1" t="s">
        <v>73</v>
      </c>
      <c r="F481" s="1" t="s">
        <v>17</v>
      </c>
      <c r="G481" s="1" t="s">
        <v>90</v>
      </c>
      <c r="H481" s="1" t="s">
        <v>51</v>
      </c>
      <c r="I481">
        <v>4</v>
      </c>
      <c r="J481">
        <v>170</v>
      </c>
      <c r="K481">
        <v>0</v>
      </c>
      <c r="L481">
        <v>680</v>
      </c>
      <c r="M481" s="1" t="s">
        <v>25</v>
      </c>
    </row>
    <row r="482" spans="1:13" x14ac:dyDescent="0.3">
      <c r="A482" s="1" t="s">
        <v>92</v>
      </c>
      <c r="B482" s="2">
        <v>46067</v>
      </c>
      <c r="C482" s="1" t="s">
        <v>89</v>
      </c>
      <c r="D482" s="1" t="s">
        <v>72</v>
      </c>
      <c r="E482" s="1" t="s">
        <v>73</v>
      </c>
      <c r="F482" s="1" t="s">
        <v>17</v>
      </c>
      <c r="G482" s="1" t="s">
        <v>90</v>
      </c>
      <c r="H482" s="1" t="s">
        <v>24</v>
      </c>
      <c r="I482">
        <v>4</v>
      </c>
      <c r="J482">
        <v>170</v>
      </c>
      <c r="K482">
        <v>0</v>
      </c>
      <c r="L482">
        <v>680</v>
      </c>
      <c r="M482" s="1" t="s">
        <v>33</v>
      </c>
    </row>
    <row r="483" spans="1:13" x14ac:dyDescent="0.3">
      <c r="A483" s="1" t="s">
        <v>92</v>
      </c>
      <c r="B483" s="2">
        <v>46072</v>
      </c>
      <c r="C483" s="1" t="s">
        <v>89</v>
      </c>
      <c r="D483" s="1" t="s">
        <v>57</v>
      </c>
      <c r="E483" s="1" t="s">
        <v>58</v>
      </c>
      <c r="F483" s="1" t="s">
        <v>17</v>
      </c>
      <c r="G483" s="1" t="s">
        <v>91</v>
      </c>
      <c r="H483" s="1" t="s">
        <v>84</v>
      </c>
      <c r="I483">
        <v>3</v>
      </c>
      <c r="J483">
        <v>45</v>
      </c>
      <c r="K483">
        <v>0</v>
      </c>
      <c r="L483">
        <v>135</v>
      </c>
      <c r="M483" s="1" t="s">
        <v>33</v>
      </c>
    </row>
    <row r="484" spans="1:13" x14ac:dyDescent="0.3">
      <c r="A484" s="1" t="s">
        <v>92</v>
      </c>
      <c r="B484" s="2">
        <v>46059</v>
      </c>
      <c r="C484" s="1" t="s">
        <v>89</v>
      </c>
      <c r="D484" s="1" t="s">
        <v>49</v>
      </c>
      <c r="E484" s="1" t="s">
        <v>50</v>
      </c>
      <c r="F484" s="1" t="s">
        <v>45</v>
      </c>
      <c r="G484" s="1" t="s">
        <v>91</v>
      </c>
      <c r="H484" s="1" t="s">
        <v>29</v>
      </c>
      <c r="I484">
        <v>4</v>
      </c>
      <c r="J484">
        <v>35</v>
      </c>
      <c r="K484">
        <v>0</v>
      </c>
      <c r="L484">
        <v>140</v>
      </c>
      <c r="M484" s="1" t="s">
        <v>37</v>
      </c>
    </row>
    <row r="485" spans="1:13" x14ac:dyDescent="0.3">
      <c r="A485" s="1" t="s">
        <v>92</v>
      </c>
      <c r="B485" s="2">
        <v>46059</v>
      </c>
      <c r="C485" s="1" t="s">
        <v>89</v>
      </c>
      <c r="D485" s="1" t="s">
        <v>26</v>
      </c>
      <c r="E485" s="1" t="s">
        <v>27</v>
      </c>
      <c r="F485" s="1" t="s">
        <v>28</v>
      </c>
      <c r="G485" s="1" t="s">
        <v>91</v>
      </c>
      <c r="H485" s="1" t="s">
        <v>80</v>
      </c>
      <c r="I485">
        <v>2</v>
      </c>
      <c r="J485">
        <v>180</v>
      </c>
      <c r="K485">
        <v>0.05</v>
      </c>
      <c r="L485">
        <v>342</v>
      </c>
      <c r="M485" s="1" t="s">
        <v>25</v>
      </c>
    </row>
    <row r="486" spans="1:13" x14ac:dyDescent="0.3">
      <c r="A486" s="1" t="s">
        <v>92</v>
      </c>
      <c r="B486" s="2">
        <v>46066</v>
      </c>
      <c r="C486" s="1" t="s">
        <v>89</v>
      </c>
      <c r="D486" s="1" t="s">
        <v>54</v>
      </c>
      <c r="E486" s="1" t="s">
        <v>55</v>
      </c>
      <c r="F486" s="1" t="s">
        <v>23</v>
      </c>
      <c r="G486" s="1" t="s">
        <v>91</v>
      </c>
      <c r="H486" s="1" t="s">
        <v>56</v>
      </c>
      <c r="I486">
        <v>4</v>
      </c>
      <c r="J486">
        <v>75</v>
      </c>
      <c r="K486">
        <v>0.05</v>
      </c>
      <c r="L486">
        <v>285</v>
      </c>
      <c r="M486" s="1" t="s">
        <v>25</v>
      </c>
    </row>
    <row r="487" spans="1:13" x14ac:dyDescent="0.3">
      <c r="A487" s="1" t="s">
        <v>92</v>
      </c>
      <c r="B487" s="2">
        <v>46054</v>
      </c>
      <c r="C487" s="1" t="s">
        <v>89</v>
      </c>
      <c r="D487" s="1" t="s">
        <v>30</v>
      </c>
      <c r="E487" s="1" t="s">
        <v>31</v>
      </c>
      <c r="F487" s="1" t="s">
        <v>23</v>
      </c>
      <c r="G487" s="1" t="s">
        <v>91</v>
      </c>
      <c r="H487" s="1" t="s">
        <v>71</v>
      </c>
      <c r="I487">
        <v>2</v>
      </c>
      <c r="J487">
        <v>2800</v>
      </c>
      <c r="K487">
        <v>0.05</v>
      </c>
      <c r="L487">
        <v>5320</v>
      </c>
      <c r="M487" s="1" t="s">
        <v>33</v>
      </c>
    </row>
    <row r="488" spans="1:13" x14ac:dyDescent="0.3">
      <c r="A488" s="1" t="s">
        <v>92</v>
      </c>
      <c r="B488" s="2">
        <v>46061</v>
      </c>
      <c r="C488" s="1" t="s">
        <v>89</v>
      </c>
      <c r="D488" s="1" t="s">
        <v>30</v>
      </c>
      <c r="E488" s="1" t="s">
        <v>31</v>
      </c>
      <c r="F488" s="1" t="s">
        <v>23</v>
      </c>
      <c r="G488" s="1" t="s">
        <v>90</v>
      </c>
      <c r="H488" s="1" t="s">
        <v>46</v>
      </c>
      <c r="I488">
        <v>1</v>
      </c>
      <c r="J488">
        <v>2800</v>
      </c>
      <c r="K488">
        <v>0.05</v>
      </c>
      <c r="L488">
        <v>2660</v>
      </c>
      <c r="M488" s="1" t="s">
        <v>20</v>
      </c>
    </row>
    <row r="489" spans="1:13" x14ac:dyDescent="0.3">
      <c r="A489" s="1" t="s">
        <v>92</v>
      </c>
      <c r="B489" s="2">
        <v>46063</v>
      </c>
      <c r="C489" s="1" t="s">
        <v>89</v>
      </c>
      <c r="D489" s="1" t="s">
        <v>54</v>
      </c>
      <c r="E489" s="1" t="s">
        <v>55</v>
      </c>
      <c r="F489" s="1" t="s">
        <v>23</v>
      </c>
      <c r="G489" s="1" t="s">
        <v>90</v>
      </c>
      <c r="H489" s="1" t="s">
        <v>82</v>
      </c>
      <c r="I489">
        <v>4</v>
      </c>
      <c r="J489">
        <v>75</v>
      </c>
      <c r="K489">
        <v>0</v>
      </c>
      <c r="L489">
        <v>300</v>
      </c>
      <c r="M489" s="1" t="s">
        <v>20</v>
      </c>
    </row>
    <row r="490" spans="1:13" x14ac:dyDescent="0.3">
      <c r="A490" s="1" t="s">
        <v>92</v>
      </c>
      <c r="B490" s="2">
        <v>46073</v>
      </c>
      <c r="C490" s="1" t="s">
        <v>89</v>
      </c>
      <c r="D490" s="1" t="s">
        <v>57</v>
      </c>
      <c r="E490" s="1" t="s">
        <v>58</v>
      </c>
      <c r="F490" s="1" t="s">
        <v>17</v>
      </c>
      <c r="G490" s="1" t="s">
        <v>91</v>
      </c>
      <c r="H490" s="1" t="s">
        <v>79</v>
      </c>
      <c r="I490">
        <v>4</v>
      </c>
      <c r="J490">
        <v>45</v>
      </c>
      <c r="K490">
        <v>0.05</v>
      </c>
      <c r="L490">
        <v>171</v>
      </c>
      <c r="M490" s="1" t="s">
        <v>33</v>
      </c>
    </row>
    <row r="491" spans="1:13" x14ac:dyDescent="0.3">
      <c r="A491" s="1" t="s">
        <v>92</v>
      </c>
      <c r="B491" s="2">
        <v>46060</v>
      </c>
      <c r="C491" s="1" t="s">
        <v>89</v>
      </c>
      <c r="D491" s="1" t="s">
        <v>34</v>
      </c>
      <c r="E491" s="1" t="s">
        <v>35</v>
      </c>
      <c r="F491" s="1" t="s">
        <v>28</v>
      </c>
      <c r="G491" s="1" t="s">
        <v>90</v>
      </c>
      <c r="H491" s="1" t="s">
        <v>68</v>
      </c>
      <c r="I491">
        <v>4</v>
      </c>
      <c r="J491">
        <v>120</v>
      </c>
      <c r="K491">
        <v>0</v>
      </c>
      <c r="L491">
        <v>480</v>
      </c>
      <c r="M491" s="1" t="s">
        <v>37</v>
      </c>
    </row>
    <row r="492" spans="1:13" x14ac:dyDescent="0.3">
      <c r="A492" s="1" t="s">
        <v>92</v>
      </c>
      <c r="B492" s="2">
        <v>46058</v>
      </c>
      <c r="C492" s="1" t="s">
        <v>89</v>
      </c>
      <c r="D492" s="1" t="s">
        <v>30</v>
      </c>
      <c r="E492" s="1" t="s">
        <v>31</v>
      </c>
      <c r="F492" s="1" t="s">
        <v>23</v>
      </c>
      <c r="G492" s="1" t="s">
        <v>90</v>
      </c>
      <c r="H492" s="1" t="s">
        <v>64</v>
      </c>
      <c r="I492">
        <v>2</v>
      </c>
      <c r="J492">
        <v>2800</v>
      </c>
      <c r="K492">
        <v>0.05</v>
      </c>
      <c r="L492">
        <v>5320</v>
      </c>
      <c r="M492" s="1" t="s">
        <v>33</v>
      </c>
    </row>
    <row r="493" spans="1:13" x14ac:dyDescent="0.3">
      <c r="A493" s="1" t="s">
        <v>92</v>
      </c>
      <c r="B493" s="2">
        <v>46074</v>
      </c>
      <c r="C493" s="1" t="s">
        <v>89</v>
      </c>
      <c r="D493" s="1" t="s">
        <v>54</v>
      </c>
      <c r="E493" s="1" t="s">
        <v>55</v>
      </c>
      <c r="F493" s="1" t="s">
        <v>23</v>
      </c>
      <c r="G493" s="1" t="s">
        <v>91</v>
      </c>
      <c r="H493" s="1" t="s">
        <v>74</v>
      </c>
      <c r="I493">
        <v>1</v>
      </c>
      <c r="J493">
        <v>75</v>
      </c>
      <c r="K493">
        <v>0</v>
      </c>
      <c r="L493">
        <v>75</v>
      </c>
      <c r="M493" s="1" t="s">
        <v>25</v>
      </c>
    </row>
    <row r="494" spans="1:13" x14ac:dyDescent="0.3">
      <c r="A494" s="1" t="s">
        <v>92</v>
      </c>
      <c r="B494" s="2">
        <v>46074</v>
      </c>
      <c r="C494" s="1" t="s">
        <v>89</v>
      </c>
      <c r="D494" s="1" t="s">
        <v>38</v>
      </c>
      <c r="E494" s="1" t="s">
        <v>39</v>
      </c>
      <c r="F494" s="1" t="s">
        <v>40</v>
      </c>
      <c r="G494" s="1" t="s">
        <v>90</v>
      </c>
      <c r="H494" s="1" t="s">
        <v>76</v>
      </c>
      <c r="I494">
        <v>1</v>
      </c>
      <c r="J494">
        <v>55</v>
      </c>
      <c r="K494">
        <v>0.05</v>
      </c>
      <c r="L494">
        <v>52.25</v>
      </c>
      <c r="M494" s="1" t="s">
        <v>37</v>
      </c>
    </row>
    <row r="495" spans="1:13" x14ac:dyDescent="0.3">
      <c r="A495" s="1" t="s">
        <v>92</v>
      </c>
      <c r="B495" s="2">
        <v>46069</v>
      </c>
      <c r="C495" s="1" t="s">
        <v>89</v>
      </c>
      <c r="D495" s="1" t="s">
        <v>61</v>
      </c>
      <c r="E495" s="1" t="s">
        <v>62</v>
      </c>
      <c r="F495" s="1" t="s">
        <v>40</v>
      </c>
      <c r="G495" s="1" t="s">
        <v>90</v>
      </c>
      <c r="H495" s="1" t="s">
        <v>79</v>
      </c>
      <c r="I495">
        <v>1</v>
      </c>
      <c r="J495">
        <v>160</v>
      </c>
      <c r="K495">
        <v>0</v>
      </c>
      <c r="L495">
        <v>160</v>
      </c>
      <c r="M495" s="1" t="s">
        <v>25</v>
      </c>
    </row>
    <row r="496" spans="1:13" x14ac:dyDescent="0.3">
      <c r="A496" s="1" t="s">
        <v>92</v>
      </c>
      <c r="B496" s="2">
        <v>46062</v>
      </c>
      <c r="C496" s="1" t="s">
        <v>89</v>
      </c>
      <c r="D496" s="1" t="s">
        <v>34</v>
      </c>
      <c r="E496" s="1" t="s">
        <v>35</v>
      </c>
      <c r="F496" s="1" t="s">
        <v>28</v>
      </c>
      <c r="G496" s="1" t="s">
        <v>90</v>
      </c>
      <c r="H496" s="1" t="s">
        <v>81</v>
      </c>
      <c r="I496">
        <v>1</v>
      </c>
      <c r="J496">
        <v>120</v>
      </c>
      <c r="K496">
        <v>0.05</v>
      </c>
      <c r="L496">
        <v>114</v>
      </c>
      <c r="M496" s="1" t="s">
        <v>25</v>
      </c>
    </row>
    <row r="497" spans="1:13" x14ac:dyDescent="0.3">
      <c r="A497" s="1" t="s">
        <v>92</v>
      </c>
      <c r="B497" s="2">
        <v>46057</v>
      </c>
      <c r="C497" s="1" t="s">
        <v>89</v>
      </c>
      <c r="D497" s="1" t="s">
        <v>65</v>
      </c>
      <c r="E497" s="1" t="s">
        <v>66</v>
      </c>
      <c r="F497" s="1" t="s">
        <v>40</v>
      </c>
      <c r="G497" s="1" t="s">
        <v>90</v>
      </c>
      <c r="H497" s="1" t="s">
        <v>74</v>
      </c>
      <c r="I497">
        <v>5</v>
      </c>
      <c r="J497">
        <v>210</v>
      </c>
      <c r="K497">
        <v>0</v>
      </c>
      <c r="L497">
        <v>1050</v>
      </c>
      <c r="M497" s="1" t="s">
        <v>33</v>
      </c>
    </row>
    <row r="498" spans="1:13" x14ac:dyDescent="0.3">
      <c r="A498" s="1" t="s">
        <v>92</v>
      </c>
      <c r="B498" s="2">
        <v>46065</v>
      </c>
      <c r="C498" s="1" t="s">
        <v>89</v>
      </c>
      <c r="D498" s="1" t="s">
        <v>49</v>
      </c>
      <c r="E498" s="1" t="s">
        <v>50</v>
      </c>
      <c r="F498" s="1" t="s">
        <v>45</v>
      </c>
      <c r="G498" s="1" t="s">
        <v>91</v>
      </c>
      <c r="H498" s="1" t="s">
        <v>82</v>
      </c>
      <c r="I498">
        <v>5</v>
      </c>
      <c r="J498">
        <v>35</v>
      </c>
      <c r="K498">
        <v>0.15</v>
      </c>
      <c r="L498">
        <v>148.75</v>
      </c>
      <c r="M498" s="1" t="s">
        <v>37</v>
      </c>
    </row>
    <row r="499" spans="1:13" x14ac:dyDescent="0.3">
      <c r="A499" s="1" t="s">
        <v>92</v>
      </c>
      <c r="B499" s="2">
        <v>46054</v>
      </c>
      <c r="C499" s="1" t="s">
        <v>89</v>
      </c>
      <c r="D499" s="1" t="s">
        <v>15</v>
      </c>
      <c r="E499" s="1" t="s">
        <v>16</v>
      </c>
      <c r="F499" s="1" t="s">
        <v>17</v>
      </c>
      <c r="G499" s="1" t="s">
        <v>90</v>
      </c>
      <c r="H499" s="1" t="s">
        <v>68</v>
      </c>
      <c r="I499">
        <v>4</v>
      </c>
      <c r="J499">
        <v>60</v>
      </c>
      <c r="K499">
        <v>0</v>
      </c>
      <c r="L499">
        <v>240</v>
      </c>
      <c r="M499" s="1" t="s">
        <v>25</v>
      </c>
    </row>
    <row r="500" spans="1:13" x14ac:dyDescent="0.3">
      <c r="A500" s="1" t="s">
        <v>92</v>
      </c>
      <c r="B500" s="2">
        <v>46056</v>
      </c>
      <c r="C500" s="1" t="s">
        <v>89</v>
      </c>
      <c r="D500" s="1" t="s">
        <v>72</v>
      </c>
      <c r="E500" s="1" t="s">
        <v>73</v>
      </c>
      <c r="F500" s="1" t="s">
        <v>17</v>
      </c>
      <c r="G500" s="1" t="s">
        <v>90</v>
      </c>
      <c r="H500" s="1" t="s">
        <v>76</v>
      </c>
      <c r="I500">
        <v>4</v>
      </c>
      <c r="J500">
        <v>170</v>
      </c>
      <c r="K500">
        <v>0</v>
      </c>
      <c r="L500">
        <v>680</v>
      </c>
      <c r="M500" s="1" t="s">
        <v>20</v>
      </c>
    </row>
    <row r="501" spans="1:13" x14ac:dyDescent="0.3">
      <c r="A501" s="1" t="s">
        <v>92</v>
      </c>
      <c r="B501" s="2">
        <v>46063</v>
      </c>
      <c r="C501" s="1" t="s">
        <v>89</v>
      </c>
      <c r="D501" s="1" t="s">
        <v>43</v>
      </c>
      <c r="E501" s="1" t="s">
        <v>44</v>
      </c>
      <c r="F501" s="1" t="s">
        <v>45</v>
      </c>
      <c r="G501" s="1" t="s">
        <v>91</v>
      </c>
      <c r="H501" s="1" t="s">
        <v>76</v>
      </c>
      <c r="I501">
        <v>4</v>
      </c>
      <c r="J501">
        <v>140</v>
      </c>
      <c r="K501">
        <v>0.15</v>
      </c>
      <c r="L501">
        <v>476</v>
      </c>
      <c r="M501" s="1" t="s">
        <v>33</v>
      </c>
    </row>
    <row r="502" spans="1:13" x14ac:dyDescent="0.3">
      <c r="A502" s="1" t="s">
        <v>134</v>
      </c>
      <c r="B502" s="2">
        <v>46092</v>
      </c>
      <c r="C502" s="1" t="s">
        <v>89</v>
      </c>
      <c r="D502" s="1" t="s">
        <v>43</v>
      </c>
      <c r="E502" s="1" t="s">
        <v>44</v>
      </c>
      <c r="F502" s="1" t="s">
        <v>45</v>
      </c>
      <c r="G502" s="1" t="s">
        <v>90</v>
      </c>
      <c r="H502" s="1" t="s">
        <v>59</v>
      </c>
      <c r="I502">
        <v>5</v>
      </c>
      <c r="J502">
        <v>140</v>
      </c>
      <c r="K502">
        <v>0.1</v>
      </c>
      <c r="L502">
        <v>630</v>
      </c>
      <c r="M502" s="1" t="s">
        <v>25</v>
      </c>
    </row>
    <row r="503" spans="1:13" x14ac:dyDescent="0.3">
      <c r="A503" s="1" t="s">
        <v>134</v>
      </c>
      <c r="B503" s="2">
        <v>46106</v>
      </c>
      <c r="C503" s="1" t="s">
        <v>89</v>
      </c>
      <c r="D503" s="1" t="s">
        <v>21</v>
      </c>
      <c r="E503" s="1" t="s">
        <v>22</v>
      </c>
      <c r="F503" s="1" t="s">
        <v>23</v>
      </c>
      <c r="G503" s="1" t="s">
        <v>91</v>
      </c>
      <c r="H503" s="1" t="s">
        <v>78</v>
      </c>
      <c r="I503">
        <v>2</v>
      </c>
      <c r="J503">
        <v>220</v>
      </c>
      <c r="K503">
        <v>0.05</v>
      </c>
      <c r="L503">
        <v>418</v>
      </c>
      <c r="M503" s="1" t="s">
        <v>37</v>
      </c>
    </row>
    <row r="504" spans="1:13" x14ac:dyDescent="0.3">
      <c r="A504" s="1" t="s">
        <v>134</v>
      </c>
      <c r="B504" s="2">
        <v>46088</v>
      </c>
      <c r="C504" s="1" t="s">
        <v>89</v>
      </c>
      <c r="D504" s="1" t="s">
        <v>34</v>
      </c>
      <c r="E504" s="1" t="s">
        <v>35</v>
      </c>
      <c r="F504" s="1" t="s">
        <v>28</v>
      </c>
      <c r="G504" s="1" t="s">
        <v>90</v>
      </c>
      <c r="H504" s="1" t="s">
        <v>29</v>
      </c>
      <c r="I504">
        <v>3</v>
      </c>
      <c r="J504">
        <v>120</v>
      </c>
      <c r="K504">
        <v>0</v>
      </c>
      <c r="L504">
        <v>360</v>
      </c>
      <c r="M504" s="1" t="s">
        <v>20</v>
      </c>
    </row>
    <row r="505" spans="1:13" x14ac:dyDescent="0.3">
      <c r="A505" s="1" t="s">
        <v>134</v>
      </c>
      <c r="B505" s="2">
        <v>46089</v>
      </c>
      <c r="C505" s="1" t="s">
        <v>89</v>
      </c>
      <c r="D505" s="1" t="s">
        <v>38</v>
      </c>
      <c r="E505" s="1" t="s">
        <v>39</v>
      </c>
      <c r="F505" s="1" t="s">
        <v>40</v>
      </c>
      <c r="G505" s="1" t="s">
        <v>90</v>
      </c>
      <c r="H505" s="1" t="s">
        <v>46</v>
      </c>
      <c r="I505">
        <v>5</v>
      </c>
      <c r="J505">
        <v>55</v>
      </c>
      <c r="K505">
        <v>0</v>
      </c>
      <c r="L505">
        <v>275</v>
      </c>
      <c r="M505" s="1" t="s">
        <v>25</v>
      </c>
    </row>
    <row r="506" spans="1:13" x14ac:dyDescent="0.3">
      <c r="A506" s="1" t="s">
        <v>134</v>
      </c>
      <c r="B506" s="2">
        <v>46109</v>
      </c>
      <c r="C506" s="1" t="s">
        <v>89</v>
      </c>
      <c r="D506" s="1" t="s">
        <v>43</v>
      </c>
      <c r="E506" s="1" t="s">
        <v>44</v>
      </c>
      <c r="F506" s="1" t="s">
        <v>45</v>
      </c>
      <c r="G506" s="1" t="s">
        <v>91</v>
      </c>
      <c r="H506" s="1" t="s">
        <v>46</v>
      </c>
      <c r="I506">
        <v>4</v>
      </c>
      <c r="J506">
        <v>140</v>
      </c>
      <c r="K506">
        <v>0</v>
      </c>
      <c r="L506">
        <v>560</v>
      </c>
      <c r="M506" s="1" t="s">
        <v>33</v>
      </c>
    </row>
    <row r="507" spans="1:13" x14ac:dyDescent="0.3">
      <c r="A507" s="1" t="s">
        <v>134</v>
      </c>
      <c r="B507" s="2">
        <v>46087</v>
      </c>
      <c r="C507" s="1" t="s">
        <v>89</v>
      </c>
      <c r="D507" s="1" t="s">
        <v>72</v>
      </c>
      <c r="E507" s="1" t="s">
        <v>73</v>
      </c>
      <c r="F507" s="1" t="s">
        <v>17</v>
      </c>
      <c r="G507" s="1" t="s">
        <v>90</v>
      </c>
      <c r="H507" s="1" t="s">
        <v>78</v>
      </c>
      <c r="I507">
        <v>4</v>
      </c>
      <c r="J507">
        <v>170</v>
      </c>
      <c r="K507">
        <v>0</v>
      </c>
      <c r="L507">
        <v>680</v>
      </c>
      <c r="M507" s="1" t="s">
        <v>25</v>
      </c>
    </row>
    <row r="508" spans="1:13" x14ac:dyDescent="0.3">
      <c r="A508" s="1" t="s">
        <v>134</v>
      </c>
      <c r="B508" s="2">
        <v>46103</v>
      </c>
      <c r="C508" s="1" t="s">
        <v>89</v>
      </c>
      <c r="D508" s="1" t="s">
        <v>15</v>
      </c>
      <c r="E508" s="1" t="s">
        <v>16</v>
      </c>
      <c r="F508" s="1" t="s">
        <v>17</v>
      </c>
      <c r="G508" s="1" t="s">
        <v>90</v>
      </c>
      <c r="H508" s="1" t="s">
        <v>19</v>
      </c>
      <c r="I508">
        <v>4</v>
      </c>
      <c r="J508">
        <v>60</v>
      </c>
      <c r="K508">
        <v>0</v>
      </c>
      <c r="L508">
        <v>240</v>
      </c>
      <c r="M508" s="1" t="s">
        <v>33</v>
      </c>
    </row>
    <row r="509" spans="1:13" x14ac:dyDescent="0.3">
      <c r="A509" s="1" t="s">
        <v>134</v>
      </c>
      <c r="B509" s="2">
        <v>46097</v>
      </c>
      <c r="C509" s="1" t="s">
        <v>89</v>
      </c>
      <c r="D509" s="1" t="s">
        <v>15</v>
      </c>
      <c r="E509" s="1" t="s">
        <v>16</v>
      </c>
      <c r="F509" s="1" t="s">
        <v>17</v>
      </c>
      <c r="G509" s="1" t="s">
        <v>91</v>
      </c>
      <c r="H509" s="1" t="s">
        <v>81</v>
      </c>
      <c r="I509">
        <v>4</v>
      </c>
      <c r="J509">
        <v>60</v>
      </c>
      <c r="K509">
        <v>0.1</v>
      </c>
      <c r="L509">
        <v>216</v>
      </c>
      <c r="M509" s="1" t="s">
        <v>33</v>
      </c>
    </row>
    <row r="510" spans="1:13" x14ac:dyDescent="0.3">
      <c r="A510" s="1" t="s">
        <v>134</v>
      </c>
      <c r="B510" s="2">
        <v>46108</v>
      </c>
      <c r="C510" s="1" t="s">
        <v>89</v>
      </c>
      <c r="D510" s="1" t="s">
        <v>61</v>
      </c>
      <c r="E510" s="1" t="s">
        <v>62</v>
      </c>
      <c r="F510" s="1" t="s">
        <v>40</v>
      </c>
      <c r="G510" s="1" t="s">
        <v>91</v>
      </c>
      <c r="H510" s="1" t="s">
        <v>56</v>
      </c>
      <c r="I510">
        <v>1</v>
      </c>
      <c r="J510">
        <v>160</v>
      </c>
      <c r="K510">
        <v>0.05</v>
      </c>
      <c r="L510">
        <v>152</v>
      </c>
      <c r="M510" s="1" t="s">
        <v>25</v>
      </c>
    </row>
    <row r="511" spans="1:13" x14ac:dyDescent="0.3">
      <c r="A511" s="1" t="s">
        <v>134</v>
      </c>
      <c r="B511" s="2">
        <v>46110</v>
      </c>
      <c r="C511" s="1" t="s">
        <v>89</v>
      </c>
      <c r="D511" s="1" t="s">
        <v>65</v>
      </c>
      <c r="E511" s="1" t="s">
        <v>66</v>
      </c>
      <c r="F511" s="1" t="s">
        <v>40</v>
      </c>
      <c r="G511" s="1" t="s">
        <v>90</v>
      </c>
      <c r="H511" s="1" t="s">
        <v>77</v>
      </c>
      <c r="I511">
        <v>4</v>
      </c>
      <c r="J511">
        <v>210</v>
      </c>
      <c r="K511">
        <v>0</v>
      </c>
      <c r="L511">
        <v>840</v>
      </c>
      <c r="M511" s="1" t="s">
        <v>37</v>
      </c>
    </row>
    <row r="512" spans="1:13" x14ac:dyDescent="0.3">
      <c r="A512" s="1" t="s">
        <v>134</v>
      </c>
      <c r="B512" s="2">
        <v>46098</v>
      </c>
      <c r="C512" s="1" t="s">
        <v>89</v>
      </c>
      <c r="D512" s="1" t="s">
        <v>57</v>
      </c>
      <c r="E512" s="1" t="s">
        <v>58</v>
      </c>
      <c r="F512" s="1" t="s">
        <v>17</v>
      </c>
      <c r="G512" s="1" t="s">
        <v>90</v>
      </c>
      <c r="H512" s="1" t="s">
        <v>60</v>
      </c>
      <c r="I512">
        <v>1</v>
      </c>
      <c r="J512">
        <v>45</v>
      </c>
      <c r="K512">
        <v>0.05</v>
      </c>
      <c r="L512">
        <v>42.75</v>
      </c>
      <c r="M512" s="1" t="s">
        <v>37</v>
      </c>
    </row>
    <row r="513" spans="1:13" x14ac:dyDescent="0.3">
      <c r="A513" s="1" t="s">
        <v>134</v>
      </c>
      <c r="B513" s="2">
        <v>46095</v>
      </c>
      <c r="C513" s="1" t="s">
        <v>89</v>
      </c>
      <c r="D513" s="1" t="s">
        <v>15</v>
      </c>
      <c r="E513" s="1" t="s">
        <v>16</v>
      </c>
      <c r="F513" s="1" t="s">
        <v>17</v>
      </c>
      <c r="G513" s="1" t="s">
        <v>91</v>
      </c>
      <c r="H513" s="1" t="s">
        <v>82</v>
      </c>
      <c r="I513">
        <v>3</v>
      </c>
      <c r="J513">
        <v>60</v>
      </c>
      <c r="K513">
        <v>0</v>
      </c>
      <c r="L513">
        <v>180</v>
      </c>
      <c r="M513" s="1" t="s">
        <v>33</v>
      </c>
    </row>
    <row r="514" spans="1:13" x14ac:dyDescent="0.3">
      <c r="A514" s="1" t="s">
        <v>134</v>
      </c>
      <c r="B514" s="2">
        <v>46098</v>
      </c>
      <c r="C514" s="1" t="s">
        <v>89</v>
      </c>
      <c r="D514" s="1" t="s">
        <v>61</v>
      </c>
      <c r="E514" s="1" t="s">
        <v>62</v>
      </c>
      <c r="F514" s="1" t="s">
        <v>40</v>
      </c>
      <c r="G514" s="1" t="s">
        <v>90</v>
      </c>
      <c r="H514" s="1" t="s">
        <v>64</v>
      </c>
      <c r="I514">
        <v>4</v>
      </c>
      <c r="J514">
        <v>160</v>
      </c>
      <c r="K514">
        <v>0</v>
      </c>
      <c r="L514">
        <v>640</v>
      </c>
      <c r="M514" s="1" t="s">
        <v>33</v>
      </c>
    </row>
    <row r="515" spans="1:13" x14ac:dyDescent="0.3">
      <c r="A515" s="1" t="s">
        <v>134</v>
      </c>
      <c r="B515" s="2">
        <v>46087</v>
      </c>
      <c r="C515" s="1" t="s">
        <v>89</v>
      </c>
      <c r="D515" s="1" t="s">
        <v>69</v>
      </c>
      <c r="E515" s="1" t="s">
        <v>70</v>
      </c>
      <c r="F515" s="1" t="s">
        <v>28</v>
      </c>
      <c r="G515" s="1" t="s">
        <v>91</v>
      </c>
      <c r="H515" s="1" t="s">
        <v>67</v>
      </c>
      <c r="I515">
        <v>3</v>
      </c>
      <c r="J515">
        <v>95</v>
      </c>
      <c r="K515">
        <v>0</v>
      </c>
      <c r="L515">
        <v>285</v>
      </c>
      <c r="M515" s="1" t="s">
        <v>33</v>
      </c>
    </row>
    <row r="516" spans="1:13" x14ac:dyDescent="0.3">
      <c r="A516" s="1" t="s">
        <v>134</v>
      </c>
      <c r="B516" s="2">
        <v>46104</v>
      </c>
      <c r="C516" s="1" t="s">
        <v>89</v>
      </c>
      <c r="D516" s="1" t="s">
        <v>15</v>
      </c>
      <c r="E516" s="1" t="s">
        <v>16</v>
      </c>
      <c r="F516" s="1" t="s">
        <v>17</v>
      </c>
      <c r="G516" s="1" t="s">
        <v>90</v>
      </c>
      <c r="H516" s="1" t="s">
        <v>76</v>
      </c>
      <c r="I516">
        <v>1</v>
      </c>
      <c r="J516">
        <v>60</v>
      </c>
      <c r="K516">
        <v>0</v>
      </c>
      <c r="L516">
        <v>60</v>
      </c>
      <c r="M516" s="1" t="s">
        <v>25</v>
      </c>
    </row>
    <row r="517" spans="1:13" x14ac:dyDescent="0.3">
      <c r="A517" s="1" t="s">
        <v>134</v>
      </c>
      <c r="B517" s="2">
        <v>46084</v>
      </c>
      <c r="C517" s="1" t="s">
        <v>89</v>
      </c>
      <c r="D517" s="1" t="s">
        <v>54</v>
      </c>
      <c r="E517" s="1" t="s">
        <v>55</v>
      </c>
      <c r="F517" s="1" t="s">
        <v>23</v>
      </c>
      <c r="G517" s="1" t="s">
        <v>91</v>
      </c>
      <c r="H517" s="1" t="s">
        <v>71</v>
      </c>
      <c r="I517">
        <v>4</v>
      </c>
      <c r="J517">
        <v>75</v>
      </c>
      <c r="K517">
        <v>0.05</v>
      </c>
      <c r="L517">
        <v>285</v>
      </c>
      <c r="M517" s="1" t="s">
        <v>33</v>
      </c>
    </row>
    <row r="518" spans="1:13" x14ac:dyDescent="0.3">
      <c r="A518" s="1" t="s">
        <v>134</v>
      </c>
      <c r="B518" s="2">
        <v>46087</v>
      </c>
      <c r="C518" s="1" t="s">
        <v>89</v>
      </c>
      <c r="D518" s="1" t="s">
        <v>69</v>
      </c>
      <c r="E518" s="1" t="s">
        <v>70</v>
      </c>
      <c r="F518" s="1" t="s">
        <v>28</v>
      </c>
      <c r="G518" s="1" t="s">
        <v>91</v>
      </c>
      <c r="H518" s="1" t="s">
        <v>79</v>
      </c>
      <c r="I518">
        <v>4</v>
      </c>
      <c r="J518">
        <v>95</v>
      </c>
      <c r="K518">
        <v>0</v>
      </c>
      <c r="L518">
        <v>380</v>
      </c>
      <c r="M518" s="1" t="s">
        <v>33</v>
      </c>
    </row>
    <row r="519" spans="1:13" x14ac:dyDescent="0.3">
      <c r="A519" s="1" t="s">
        <v>134</v>
      </c>
      <c r="B519" s="2">
        <v>46104</v>
      </c>
      <c r="C519" s="1" t="s">
        <v>89</v>
      </c>
      <c r="D519" s="1" t="s">
        <v>21</v>
      </c>
      <c r="E519" s="1" t="s">
        <v>22</v>
      </c>
      <c r="F519" s="1" t="s">
        <v>23</v>
      </c>
      <c r="G519" s="1" t="s">
        <v>90</v>
      </c>
      <c r="H519" s="1" t="s">
        <v>32</v>
      </c>
      <c r="I519">
        <v>2</v>
      </c>
      <c r="J519">
        <v>220</v>
      </c>
      <c r="K519">
        <v>0</v>
      </c>
      <c r="L519">
        <v>440</v>
      </c>
      <c r="M519" s="1" t="s">
        <v>37</v>
      </c>
    </row>
    <row r="520" spans="1:13" x14ac:dyDescent="0.3">
      <c r="A520" s="1" t="s">
        <v>134</v>
      </c>
      <c r="B520" s="2">
        <v>46086</v>
      </c>
      <c r="C520" s="1" t="s">
        <v>89</v>
      </c>
      <c r="D520" s="1" t="s">
        <v>26</v>
      </c>
      <c r="E520" s="1" t="s">
        <v>27</v>
      </c>
      <c r="F520" s="1" t="s">
        <v>28</v>
      </c>
      <c r="G520" s="1" t="s">
        <v>90</v>
      </c>
      <c r="H520" s="1" t="s">
        <v>87</v>
      </c>
      <c r="I520">
        <v>2</v>
      </c>
      <c r="J520">
        <v>180</v>
      </c>
      <c r="K520">
        <v>0</v>
      </c>
      <c r="L520">
        <v>360</v>
      </c>
      <c r="M520" s="1" t="s">
        <v>20</v>
      </c>
    </row>
    <row r="521" spans="1:13" x14ac:dyDescent="0.3">
      <c r="A521" s="1" t="s">
        <v>134</v>
      </c>
      <c r="B521" s="2">
        <v>46099</v>
      </c>
      <c r="C521" s="1" t="s">
        <v>89</v>
      </c>
      <c r="D521" s="1" t="s">
        <v>30</v>
      </c>
      <c r="E521" s="1" t="s">
        <v>31</v>
      </c>
      <c r="F521" s="1" t="s">
        <v>23</v>
      </c>
      <c r="G521" s="1" t="s">
        <v>90</v>
      </c>
      <c r="H521" s="1" t="s">
        <v>42</v>
      </c>
      <c r="I521">
        <v>4</v>
      </c>
      <c r="J521">
        <v>2800</v>
      </c>
      <c r="K521">
        <v>0.1</v>
      </c>
      <c r="L521">
        <v>10080</v>
      </c>
      <c r="M521" s="1" t="s">
        <v>33</v>
      </c>
    </row>
    <row r="522" spans="1:13" x14ac:dyDescent="0.3">
      <c r="A522" s="1" t="s">
        <v>134</v>
      </c>
      <c r="B522" s="2">
        <v>46096</v>
      </c>
      <c r="C522" s="1" t="s">
        <v>89</v>
      </c>
      <c r="D522" s="1" t="s">
        <v>21</v>
      </c>
      <c r="E522" s="1" t="s">
        <v>22</v>
      </c>
      <c r="F522" s="1" t="s">
        <v>23</v>
      </c>
      <c r="G522" s="1" t="s">
        <v>90</v>
      </c>
      <c r="H522" s="1" t="s">
        <v>29</v>
      </c>
      <c r="I522">
        <v>4</v>
      </c>
      <c r="J522">
        <v>220</v>
      </c>
      <c r="K522">
        <v>0</v>
      </c>
      <c r="L522">
        <v>880</v>
      </c>
      <c r="M522" s="1" t="s">
        <v>33</v>
      </c>
    </row>
    <row r="523" spans="1:13" x14ac:dyDescent="0.3">
      <c r="A523" s="1" t="s">
        <v>134</v>
      </c>
      <c r="B523" s="2">
        <v>46099</v>
      </c>
      <c r="C523" s="1" t="s">
        <v>89</v>
      </c>
      <c r="D523" s="1" t="s">
        <v>15</v>
      </c>
      <c r="E523" s="1" t="s">
        <v>16</v>
      </c>
      <c r="F523" s="1" t="s">
        <v>17</v>
      </c>
      <c r="G523" s="1" t="s">
        <v>90</v>
      </c>
      <c r="H523" s="1" t="s">
        <v>24</v>
      </c>
      <c r="I523">
        <v>3</v>
      </c>
      <c r="J523">
        <v>60</v>
      </c>
      <c r="K523">
        <v>0.05</v>
      </c>
      <c r="L523">
        <v>171</v>
      </c>
      <c r="M523" s="1" t="s">
        <v>25</v>
      </c>
    </row>
    <row r="524" spans="1:13" x14ac:dyDescent="0.3">
      <c r="A524" s="1" t="s">
        <v>134</v>
      </c>
      <c r="B524" s="2">
        <v>46083</v>
      </c>
      <c r="C524" s="1" t="s">
        <v>89</v>
      </c>
      <c r="D524" s="1" t="s">
        <v>43</v>
      </c>
      <c r="E524" s="1" t="s">
        <v>44</v>
      </c>
      <c r="F524" s="1" t="s">
        <v>45</v>
      </c>
      <c r="G524" s="1" t="s">
        <v>91</v>
      </c>
      <c r="H524" s="1" t="s">
        <v>19</v>
      </c>
      <c r="I524">
        <v>1</v>
      </c>
      <c r="J524">
        <v>140</v>
      </c>
      <c r="K524">
        <v>0</v>
      </c>
      <c r="L524">
        <v>140</v>
      </c>
      <c r="M524" s="1" t="s">
        <v>25</v>
      </c>
    </row>
    <row r="525" spans="1:13" x14ac:dyDescent="0.3">
      <c r="A525" s="1" t="s">
        <v>134</v>
      </c>
      <c r="B525" s="2">
        <v>46091</v>
      </c>
      <c r="C525" s="1" t="s">
        <v>89</v>
      </c>
      <c r="D525" s="1" t="s">
        <v>54</v>
      </c>
      <c r="E525" s="1" t="s">
        <v>55</v>
      </c>
      <c r="F525" s="1" t="s">
        <v>23</v>
      </c>
      <c r="G525" s="1" t="s">
        <v>90</v>
      </c>
      <c r="H525" s="1" t="s">
        <v>59</v>
      </c>
      <c r="I525">
        <v>2</v>
      </c>
      <c r="J525">
        <v>75</v>
      </c>
      <c r="K525">
        <v>0</v>
      </c>
      <c r="L525">
        <v>150</v>
      </c>
      <c r="M525" s="1" t="s">
        <v>20</v>
      </c>
    </row>
    <row r="526" spans="1:13" x14ac:dyDescent="0.3">
      <c r="A526" s="1" t="s">
        <v>134</v>
      </c>
      <c r="B526" s="2">
        <v>46092</v>
      </c>
      <c r="C526" s="1" t="s">
        <v>89</v>
      </c>
      <c r="D526" s="1" t="s">
        <v>15</v>
      </c>
      <c r="E526" s="1" t="s">
        <v>16</v>
      </c>
      <c r="F526" s="1" t="s">
        <v>17</v>
      </c>
      <c r="G526" s="1" t="s">
        <v>91</v>
      </c>
      <c r="H526" s="1" t="s">
        <v>36</v>
      </c>
      <c r="I526">
        <v>1</v>
      </c>
      <c r="J526">
        <v>60</v>
      </c>
      <c r="K526">
        <v>0.05</v>
      </c>
      <c r="L526">
        <v>57</v>
      </c>
      <c r="M526" s="1" t="s">
        <v>25</v>
      </c>
    </row>
    <row r="527" spans="1:13" x14ac:dyDescent="0.3">
      <c r="A527" s="1" t="s">
        <v>134</v>
      </c>
      <c r="B527" s="2">
        <v>46097</v>
      </c>
      <c r="C527" s="1" t="s">
        <v>89</v>
      </c>
      <c r="D527" s="1" t="s">
        <v>49</v>
      </c>
      <c r="E527" s="1" t="s">
        <v>50</v>
      </c>
      <c r="F527" s="1" t="s">
        <v>45</v>
      </c>
      <c r="G527" s="1" t="s">
        <v>90</v>
      </c>
      <c r="H527" s="1" t="s">
        <v>84</v>
      </c>
      <c r="I527">
        <v>5</v>
      </c>
      <c r="J527">
        <v>35</v>
      </c>
      <c r="K527">
        <v>0</v>
      </c>
      <c r="L527">
        <v>175</v>
      </c>
      <c r="M527" s="1" t="s">
        <v>20</v>
      </c>
    </row>
    <row r="528" spans="1:13" x14ac:dyDescent="0.3">
      <c r="A528" s="1" t="s">
        <v>134</v>
      </c>
      <c r="B528" s="2">
        <v>46104</v>
      </c>
      <c r="C528" s="1" t="s">
        <v>89</v>
      </c>
      <c r="D528" s="1" t="s">
        <v>34</v>
      </c>
      <c r="E528" s="1" t="s">
        <v>35</v>
      </c>
      <c r="F528" s="1" t="s">
        <v>28</v>
      </c>
      <c r="G528" s="1" t="s">
        <v>90</v>
      </c>
      <c r="H528" s="1" t="s">
        <v>76</v>
      </c>
      <c r="I528">
        <v>4</v>
      </c>
      <c r="J528">
        <v>120</v>
      </c>
      <c r="K528">
        <v>0</v>
      </c>
      <c r="L528">
        <v>480</v>
      </c>
      <c r="M528" s="1" t="s">
        <v>25</v>
      </c>
    </row>
    <row r="529" spans="1:13" x14ac:dyDescent="0.3">
      <c r="A529" s="1" t="s">
        <v>134</v>
      </c>
      <c r="B529" s="2">
        <v>46104</v>
      </c>
      <c r="C529" s="1" t="s">
        <v>89</v>
      </c>
      <c r="D529" s="1" t="s">
        <v>65</v>
      </c>
      <c r="E529" s="1" t="s">
        <v>66</v>
      </c>
      <c r="F529" s="1" t="s">
        <v>40</v>
      </c>
      <c r="G529" s="1" t="s">
        <v>91</v>
      </c>
      <c r="H529" s="1" t="s">
        <v>84</v>
      </c>
      <c r="I529">
        <v>5</v>
      </c>
      <c r="J529">
        <v>210</v>
      </c>
      <c r="K529">
        <v>0.1</v>
      </c>
      <c r="L529">
        <v>945</v>
      </c>
      <c r="M529" s="1" t="s">
        <v>20</v>
      </c>
    </row>
    <row r="530" spans="1:13" x14ac:dyDescent="0.3">
      <c r="A530" s="1" t="s">
        <v>134</v>
      </c>
      <c r="B530" s="2">
        <v>46093</v>
      </c>
      <c r="C530" s="1" t="s">
        <v>89</v>
      </c>
      <c r="D530" s="1" t="s">
        <v>26</v>
      </c>
      <c r="E530" s="1" t="s">
        <v>27</v>
      </c>
      <c r="F530" s="1" t="s">
        <v>28</v>
      </c>
      <c r="G530" s="1" t="s">
        <v>90</v>
      </c>
      <c r="H530" s="1" t="s">
        <v>42</v>
      </c>
      <c r="I530">
        <v>5</v>
      </c>
      <c r="J530">
        <v>180</v>
      </c>
      <c r="K530">
        <v>0.15</v>
      </c>
      <c r="L530">
        <v>765</v>
      </c>
      <c r="M530" s="1" t="s">
        <v>37</v>
      </c>
    </row>
    <row r="531" spans="1:13" x14ac:dyDescent="0.3">
      <c r="A531" s="1" t="s">
        <v>134</v>
      </c>
      <c r="B531" s="2">
        <v>46089</v>
      </c>
      <c r="C531" s="1" t="s">
        <v>89</v>
      </c>
      <c r="D531" s="1" t="s">
        <v>65</v>
      </c>
      <c r="E531" s="1" t="s">
        <v>66</v>
      </c>
      <c r="F531" s="1" t="s">
        <v>40</v>
      </c>
      <c r="G531" s="1" t="s">
        <v>91</v>
      </c>
      <c r="H531" s="1" t="s">
        <v>29</v>
      </c>
      <c r="I531">
        <v>2</v>
      </c>
      <c r="J531">
        <v>210</v>
      </c>
      <c r="K531">
        <v>0.1</v>
      </c>
      <c r="L531">
        <v>378</v>
      </c>
      <c r="M531" s="1" t="s">
        <v>25</v>
      </c>
    </row>
    <row r="532" spans="1:13" x14ac:dyDescent="0.3">
      <c r="A532" s="1" t="s">
        <v>134</v>
      </c>
      <c r="B532" s="2">
        <v>46088</v>
      </c>
      <c r="C532" s="1" t="s">
        <v>89</v>
      </c>
      <c r="D532" s="1" t="s">
        <v>30</v>
      </c>
      <c r="E532" s="1" t="s">
        <v>31</v>
      </c>
      <c r="F532" s="1" t="s">
        <v>23</v>
      </c>
      <c r="G532" s="1" t="s">
        <v>91</v>
      </c>
      <c r="H532" s="1" t="s">
        <v>53</v>
      </c>
      <c r="I532">
        <v>1</v>
      </c>
      <c r="J532">
        <v>2800</v>
      </c>
      <c r="K532">
        <v>0.05</v>
      </c>
      <c r="L532">
        <v>2660</v>
      </c>
      <c r="M532" s="1" t="s">
        <v>20</v>
      </c>
    </row>
    <row r="533" spans="1:13" x14ac:dyDescent="0.3">
      <c r="A533" s="1" t="s">
        <v>134</v>
      </c>
      <c r="B533" s="2">
        <v>46088</v>
      </c>
      <c r="C533" s="1" t="s">
        <v>89</v>
      </c>
      <c r="D533" s="1" t="s">
        <v>38</v>
      </c>
      <c r="E533" s="1" t="s">
        <v>39</v>
      </c>
      <c r="F533" s="1" t="s">
        <v>40</v>
      </c>
      <c r="G533" s="1" t="s">
        <v>91</v>
      </c>
      <c r="H533" s="1" t="s">
        <v>19</v>
      </c>
      <c r="I533">
        <v>2</v>
      </c>
      <c r="J533">
        <v>55</v>
      </c>
      <c r="K533">
        <v>0</v>
      </c>
      <c r="L533">
        <v>110</v>
      </c>
      <c r="M533" s="1" t="s">
        <v>20</v>
      </c>
    </row>
    <row r="534" spans="1:13" x14ac:dyDescent="0.3">
      <c r="A534" s="1" t="s">
        <v>134</v>
      </c>
      <c r="B534" s="2">
        <v>46082</v>
      </c>
      <c r="C534" s="1" t="s">
        <v>89</v>
      </c>
      <c r="D534" s="1" t="s">
        <v>34</v>
      </c>
      <c r="E534" s="1" t="s">
        <v>35</v>
      </c>
      <c r="F534" s="1" t="s">
        <v>28</v>
      </c>
      <c r="G534" s="1" t="s">
        <v>90</v>
      </c>
      <c r="H534" s="1" t="s">
        <v>53</v>
      </c>
      <c r="I534">
        <v>5</v>
      </c>
      <c r="J534">
        <v>120</v>
      </c>
      <c r="K534">
        <v>0</v>
      </c>
      <c r="L534">
        <v>600</v>
      </c>
      <c r="M534" s="1" t="s">
        <v>37</v>
      </c>
    </row>
    <row r="535" spans="1:13" x14ac:dyDescent="0.3">
      <c r="A535" s="1" t="s">
        <v>134</v>
      </c>
      <c r="B535" s="2">
        <v>46108</v>
      </c>
      <c r="C535" s="1" t="s">
        <v>89</v>
      </c>
      <c r="D535" s="1" t="s">
        <v>47</v>
      </c>
      <c r="E535" s="1" t="s">
        <v>48</v>
      </c>
      <c r="F535" s="1" t="s">
        <v>45</v>
      </c>
      <c r="G535" s="1" t="s">
        <v>90</v>
      </c>
      <c r="H535" s="1" t="s">
        <v>36</v>
      </c>
      <c r="I535">
        <v>5</v>
      </c>
      <c r="J535">
        <v>85</v>
      </c>
      <c r="K535">
        <v>0.15</v>
      </c>
      <c r="L535">
        <v>361.25</v>
      </c>
      <c r="M535" s="1" t="s">
        <v>20</v>
      </c>
    </row>
    <row r="536" spans="1:13" x14ac:dyDescent="0.3">
      <c r="A536" s="1" t="s">
        <v>134</v>
      </c>
      <c r="B536" s="2">
        <v>46107</v>
      </c>
      <c r="C536" s="1" t="s">
        <v>89</v>
      </c>
      <c r="D536" s="1" t="s">
        <v>15</v>
      </c>
      <c r="E536" s="1" t="s">
        <v>16</v>
      </c>
      <c r="F536" s="1" t="s">
        <v>17</v>
      </c>
      <c r="G536" s="1" t="s">
        <v>90</v>
      </c>
      <c r="H536" s="1" t="s">
        <v>42</v>
      </c>
      <c r="I536">
        <v>4</v>
      </c>
      <c r="J536">
        <v>60</v>
      </c>
      <c r="K536">
        <v>0.1</v>
      </c>
      <c r="L536">
        <v>216</v>
      </c>
      <c r="M536" s="1" t="s">
        <v>33</v>
      </c>
    </row>
    <row r="537" spans="1:13" x14ac:dyDescent="0.3">
      <c r="A537" s="1" t="s">
        <v>134</v>
      </c>
      <c r="B537" s="2">
        <v>46096</v>
      </c>
      <c r="C537" s="1" t="s">
        <v>89</v>
      </c>
      <c r="D537" s="1" t="s">
        <v>38</v>
      </c>
      <c r="E537" s="1" t="s">
        <v>39</v>
      </c>
      <c r="F537" s="1" t="s">
        <v>40</v>
      </c>
      <c r="G537" s="1" t="s">
        <v>91</v>
      </c>
      <c r="H537" s="1" t="s">
        <v>82</v>
      </c>
      <c r="I537">
        <v>5</v>
      </c>
      <c r="J537">
        <v>55</v>
      </c>
      <c r="K537">
        <v>0.1</v>
      </c>
      <c r="L537">
        <v>247.5</v>
      </c>
      <c r="M537" s="1" t="s">
        <v>20</v>
      </c>
    </row>
    <row r="538" spans="1:13" x14ac:dyDescent="0.3">
      <c r="A538" s="1" t="s">
        <v>134</v>
      </c>
      <c r="B538" s="2">
        <v>46082</v>
      </c>
      <c r="C538" s="1" t="s">
        <v>89</v>
      </c>
      <c r="D538" s="1" t="s">
        <v>38</v>
      </c>
      <c r="E538" s="1" t="s">
        <v>39</v>
      </c>
      <c r="F538" s="1" t="s">
        <v>40</v>
      </c>
      <c r="G538" s="1" t="s">
        <v>90</v>
      </c>
      <c r="H538" s="1" t="s">
        <v>53</v>
      </c>
      <c r="I538">
        <v>3</v>
      </c>
      <c r="J538">
        <v>55</v>
      </c>
      <c r="K538">
        <v>0.05</v>
      </c>
      <c r="L538">
        <v>156.75</v>
      </c>
      <c r="M538" s="1" t="s">
        <v>20</v>
      </c>
    </row>
    <row r="539" spans="1:13" x14ac:dyDescent="0.3">
      <c r="A539" s="1" t="s">
        <v>134</v>
      </c>
      <c r="B539" s="2">
        <v>46082</v>
      </c>
      <c r="C539" s="1" t="s">
        <v>89</v>
      </c>
      <c r="D539" s="1" t="s">
        <v>30</v>
      </c>
      <c r="E539" s="1" t="s">
        <v>31</v>
      </c>
      <c r="F539" s="1" t="s">
        <v>23</v>
      </c>
      <c r="G539" s="1" t="s">
        <v>91</v>
      </c>
      <c r="H539" s="1" t="s">
        <v>75</v>
      </c>
      <c r="I539">
        <v>2</v>
      </c>
      <c r="J539">
        <v>2800</v>
      </c>
      <c r="K539">
        <v>0</v>
      </c>
      <c r="L539">
        <v>5600</v>
      </c>
      <c r="M539" s="1" t="s">
        <v>33</v>
      </c>
    </row>
    <row r="540" spans="1:13" x14ac:dyDescent="0.3">
      <c r="A540" s="1" t="s">
        <v>134</v>
      </c>
      <c r="B540" s="2">
        <v>46085</v>
      </c>
      <c r="C540" s="1" t="s">
        <v>89</v>
      </c>
      <c r="D540" s="1" t="s">
        <v>38</v>
      </c>
      <c r="E540" s="1" t="s">
        <v>39</v>
      </c>
      <c r="F540" s="1" t="s">
        <v>40</v>
      </c>
      <c r="G540" s="1" t="s">
        <v>91</v>
      </c>
      <c r="H540" s="1" t="s">
        <v>53</v>
      </c>
      <c r="I540">
        <v>4</v>
      </c>
      <c r="J540">
        <v>55</v>
      </c>
      <c r="K540">
        <v>0</v>
      </c>
      <c r="L540">
        <v>220</v>
      </c>
      <c r="M540" s="1" t="s">
        <v>25</v>
      </c>
    </row>
    <row r="541" spans="1:13" x14ac:dyDescent="0.3">
      <c r="A541" s="1" t="s">
        <v>134</v>
      </c>
      <c r="B541" s="2">
        <v>46089</v>
      </c>
      <c r="C541" s="1" t="s">
        <v>89</v>
      </c>
      <c r="D541" s="1" t="s">
        <v>26</v>
      </c>
      <c r="E541" s="1" t="s">
        <v>27</v>
      </c>
      <c r="F541" s="1" t="s">
        <v>28</v>
      </c>
      <c r="G541" s="1" t="s">
        <v>91</v>
      </c>
      <c r="H541" s="1" t="s">
        <v>32</v>
      </c>
      <c r="I541">
        <v>1</v>
      </c>
      <c r="J541">
        <v>180</v>
      </c>
      <c r="K541">
        <v>0</v>
      </c>
      <c r="L541">
        <v>180</v>
      </c>
      <c r="M541" s="1" t="s">
        <v>33</v>
      </c>
    </row>
    <row r="542" spans="1:13" x14ac:dyDescent="0.3">
      <c r="A542" s="1" t="s">
        <v>134</v>
      </c>
      <c r="B542" s="2">
        <v>46107</v>
      </c>
      <c r="C542" s="1" t="s">
        <v>89</v>
      </c>
      <c r="D542" s="1" t="s">
        <v>65</v>
      </c>
      <c r="E542" s="1" t="s">
        <v>66</v>
      </c>
      <c r="F542" s="1" t="s">
        <v>40</v>
      </c>
      <c r="G542" s="1" t="s">
        <v>90</v>
      </c>
      <c r="H542" s="1" t="s">
        <v>68</v>
      </c>
      <c r="I542">
        <v>2</v>
      </c>
      <c r="J542">
        <v>210</v>
      </c>
      <c r="K542">
        <v>0</v>
      </c>
      <c r="L542">
        <v>420</v>
      </c>
      <c r="M542" s="1" t="s">
        <v>25</v>
      </c>
    </row>
    <row r="543" spans="1:13" x14ac:dyDescent="0.3">
      <c r="A543" s="1" t="s">
        <v>134</v>
      </c>
      <c r="B543" s="2">
        <v>46110</v>
      </c>
      <c r="C543" s="1" t="s">
        <v>89</v>
      </c>
      <c r="D543" s="1" t="s">
        <v>61</v>
      </c>
      <c r="E543" s="1" t="s">
        <v>62</v>
      </c>
      <c r="F543" s="1" t="s">
        <v>40</v>
      </c>
      <c r="G543" s="1" t="s">
        <v>90</v>
      </c>
      <c r="H543" s="1" t="s">
        <v>68</v>
      </c>
      <c r="I543">
        <v>1</v>
      </c>
      <c r="J543">
        <v>160</v>
      </c>
      <c r="K543">
        <v>0.05</v>
      </c>
      <c r="L543">
        <v>152</v>
      </c>
      <c r="M543" s="1" t="s">
        <v>37</v>
      </c>
    </row>
    <row r="544" spans="1:13" x14ac:dyDescent="0.3">
      <c r="A544" s="1" t="s">
        <v>134</v>
      </c>
      <c r="B544" s="2">
        <v>46092</v>
      </c>
      <c r="C544" s="1" t="s">
        <v>89</v>
      </c>
      <c r="D544" s="1" t="s">
        <v>47</v>
      </c>
      <c r="E544" s="1" t="s">
        <v>48</v>
      </c>
      <c r="F544" s="1" t="s">
        <v>45</v>
      </c>
      <c r="G544" s="1" t="s">
        <v>90</v>
      </c>
      <c r="H544" s="1" t="s">
        <v>76</v>
      </c>
      <c r="I544">
        <v>5</v>
      </c>
      <c r="J544">
        <v>85</v>
      </c>
      <c r="K544">
        <v>0</v>
      </c>
      <c r="L544">
        <v>425</v>
      </c>
      <c r="M544" s="1" t="s">
        <v>33</v>
      </c>
    </row>
    <row r="545" spans="1:13" x14ac:dyDescent="0.3">
      <c r="A545" s="1" t="s">
        <v>134</v>
      </c>
      <c r="B545" s="2">
        <v>46104</v>
      </c>
      <c r="C545" s="1" t="s">
        <v>89</v>
      </c>
      <c r="D545" s="1" t="s">
        <v>21</v>
      </c>
      <c r="E545" s="1" t="s">
        <v>22</v>
      </c>
      <c r="F545" s="1" t="s">
        <v>23</v>
      </c>
      <c r="G545" s="1" t="s">
        <v>90</v>
      </c>
      <c r="H545" s="1" t="s">
        <v>87</v>
      </c>
      <c r="I545">
        <v>1</v>
      </c>
      <c r="J545">
        <v>220</v>
      </c>
      <c r="K545">
        <v>0</v>
      </c>
      <c r="L545">
        <v>220</v>
      </c>
      <c r="M545" s="1" t="s">
        <v>25</v>
      </c>
    </row>
    <row r="546" spans="1:13" x14ac:dyDescent="0.3">
      <c r="A546" s="1" t="s">
        <v>134</v>
      </c>
      <c r="B546" s="2">
        <v>46092</v>
      </c>
      <c r="C546" s="1" t="s">
        <v>89</v>
      </c>
      <c r="D546" s="1" t="s">
        <v>43</v>
      </c>
      <c r="E546" s="1" t="s">
        <v>44</v>
      </c>
      <c r="F546" s="1" t="s">
        <v>45</v>
      </c>
      <c r="G546" s="1" t="s">
        <v>91</v>
      </c>
      <c r="H546" s="1" t="s">
        <v>76</v>
      </c>
      <c r="I546">
        <v>5</v>
      </c>
      <c r="J546">
        <v>140</v>
      </c>
      <c r="K546">
        <v>0.1</v>
      </c>
      <c r="L546">
        <v>630</v>
      </c>
      <c r="M546" s="1" t="s">
        <v>20</v>
      </c>
    </row>
    <row r="547" spans="1:13" x14ac:dyDescent="0.3">
      <c r="A547" s="1" t="s">
        <v>134</v>
      </c>
      <c r="B547" s="2">
        <v>46088</v>
      </c>
      <c r="C547" s="1" t="s">
        <v>89</v>
      </c>
      <c r="D547" s="1" t="s">
        <v>30</v>
      </c>
      <c r="E547" s="1" t="s">
        <v>31</v>
      </c>
      <c r="F547" s="1" t="s">
        <v>23</v>
      </c>
      <c r="G547" s="1" t="s">
        <v>91</v>
      </c>
      <c r="H547" s="1" t="s">
        <v>32</v>
      </c>
      <c r="I547">
        <v>3</v>
      </c>
      <c r="J547">
        <v>2800</v>
      </c>
      <c r="K547">
        <v>0.05</v>
      </c>
      <c r="L547">
        <v>7980</v>
      </c>
      <c r="M547" s="1" t="s">
        <v>20</v>
      </c>
    </row>
    <row r="548" spans="1:13" x14ac:dyDescent="0.3">
      <c r="A548" s="1" t="s">
        <v>134</v>
      </c>
      <c r="B548" s="2">
        <v>46090</v>
      </c>
      <c r="C548" s="1" t="s">
        <v>89</v>
      </c>
      <c r="D548" s="1" t="s">
        <v>65</v>
      </c>
      <c r="E548" s="1" t="s">
        <v>66</v>
      </c>
      <c r="F548" s="1" t="s">
        <v>40</v>
      </c>
      <c r="G548" s="1" t="s">
        <v>90</v>
      </c>
      <c r="H548" s="1" t="s">
        <v>76</v>
      </c>
      <c r="I548">
        <v>4</v>
      </c>
      <c r="J548">
        <v>210</v>
      </c>
      <c r="K548">
        <v>0.05</v>
      </c>
      <c r="L548">
        <v>798</v>
      </c>
      <c r="M548" s="1" t="s">
        <v>25</v>
      </c>
    </row>
    <row r="549" spans="1:13" x14ac:dyDescent="0.3">
      <c r="A549" s="1" t="s">
        <v>134</v>
      </c>
      <c r="B549" s="2">
        <v>46088</v>
      </c>
      <c r="C549" s="1" t="s">
        <v>89</v>
      </c>
      <c r="D549" s="1" t="s">
        <v>57</v>
      </c>
      <c r="E549" s="1" t="s">
        <v>58</v>
      </c>
      <c r="F549" s="1" t="s">
        <v>17</v>
      </c>
      <c r="G549" s="1" t="s">
        <v>91</v>
      </c>
      <c r="H549" s="1" t="s">
        <v>85</v>
      </c>
      <c r="I549">
        <v>5</v>
      </c>
      <c r="J549">
        <v>45</v>
      </c>
      <c r="K549">
        <v>0</v>
      </c>
      <c r="L549">
        <v>225</v>
      </c>
      <c r="M549" s="1" t="s">
        <v>33</v>
      </c>
    </row>
    <row r="550" spans="1:13" x14ac:dyDescent="0.3">
      <c r="A550" s="1" t="s">
        <v>134</v>
      </c>
      <c r="B550" s="2">
        <v>46087</v>
      </c>
      <c r="C550" s="1" t="s">
        <v>89</v>
      </c>
      <c r="D550" s="1" t="s">
        <v>57</v>
      </c>
      <c r="E550" s="1" t="s">
        <v>58</v>
      </c>
      <c r="F550" s="1" t="s">
        <v>17</v>
      </c>
      <c r="G550" s="1" t="s">
        <v>90</v>
      </c>
      <c r="H550" s="1" t="s">
        <v>81</v>
      </c>
      <c r="I550">
        <v>3</v>
      </c>
      <c r="J550">
        <v>45</v>
      </c>
      <c r="K550">
        <v>0.05</v>
      </c>
      <c r="L550">
        <v>128.25</v>
      </c>
      <c r="M550" s="1" t="s">
        <v>20</v>
      </c>
    </row>
    <row r="551" spans="1:13" x14ac:dyDescent="0.3">
      <c r="A551" s="1" t="s">
        <v>134</v>
      </c>
      <c r="B551" s="2">
        <v>46097</v>
      </c>
      <c r="C551" s="1" t="s">
        <v>89</v>
      </c>
      <c r="D551" s="1" t="s">
        <v>65</v>
      </c>
      <c r="E551" s="1" t="s">
        <v>66</v>
      </c>
      <c r="F551" s="1" t="s">
        <v>40</v>
      </c>
      <c r="G551" s="1" t="s">
        <v>90</v>
      </c>
      <c r="H551" s="1" t="s">
        <v>82</v>
      </c>
      <c r="I551">
        <v>1</v>
      </c>
      <c r="J551">
        <v>210</v>
      </c>
      <c r="K551">
        <v>0</v>
      </c>
      <c r="L551">
        <v>210</v>
      </c>
      <c r="M551" s="1" t="s">
        <v>25</v>
      </c>
    </row>
    <row r="552" spans="1:13" x14ac:dyDescent="0.3">
      <c r="A552" s="1" t="s">
        <v>134</v>
      </c>
      <c r="B552" s="2">
        <v>46110</v>
      </c>
      <c r="C552" s="1" t="s">
        <v>89</v>
      </c>
      <c r="D552" s="1" t="s">
        <v>61</v>
      </c>
      <c r="E552" s="1" t="s">
        <v>62</v>
      </c>
      <c r="F552" s="1" t="s">
        <v>40</v>
      </c>
      <c r="G552" s="1" t="s">
        <v>91</v>
      </c>
      <c r="H552" s="1" t="s">
        <v>32</v>
      </c>
      <c r="I552">
        <v>2</v>
      </c>
      <c r="J552">
        <v>160</v>
      </c>
      <c r="K552">
        <v>0.05</v>
      </c>
      <c r="L552">
        <v>304</v>
      </c>
      <c r="M552" s="1" t="s">
        <v>20</v>
      </c>
    </row>
    <row r="553" spans="1:13" x14ac:dyDescent="0.3">
      <c r="A553" s="1" t="s">
        <v>134</v>
      </c>
      <c r="B553" s="2">
        <v>46111</v>
      </c>
      <c r="C553" s="1" t="s">
        <v>89</v>
      </c>
      <c r="D553" s="1" t="s">
        <v>72</v>
      </c>
      <c r="E553" s="1" t="s">
        <v>73</v>
      </c>
      <c r="F553" s="1" t="s">
        <v>17</v>
      </c>
      <c r="G553" s="1" t="s">
        <v>91</v>
      </c>
      <c r="H553" s="1" t="s">
        <v>19</v>
      </c>
      <c r="I553">
        <v>5</v>
      </c>
      <c r="J553">
        <v>170</v>
      </c>
      <c r="K553">
        <v>0</v>
      </c>
      <c r="L553">
        <v>850</v>
      </c>
      <c r="M553" s="1" t="s">
        <v>37</v>
      </c>
    </row>
    <row r="554" spans="1:13" x14ac:dyDescent="0.3">
      <c r="A554" s="1" t="s">
        <v>134</v>
      </c>
      <c r="B554" s="2">
        <v>46104</v>
      </c>
      <c r="C554" s="1" t="s">
        <v>89</v>
      </c>
      <c r="D554" s="1" t="s">
        <v>54</v>
      </c>
      <c r="E554" s="1" t="s">
        <v>55</v>
      </c>
      <c r="F554" s="1" t="s">
        <v>23</v>
      </c>
      <c r="G554" s="1" t="s">
        <v>91</v>
      </c>
      <c r="H554" s="1" t="s">
        <v>77</v>
      </c>
      <c r="I554">
        <v>3</v>
      </c>
      <c r="J554">
        <v>75</v>
      </c>
      <c r="K554">
        <v>0.05</v>
      </c>
      <c r="L554">
        <v>213.75</v>
      </c>
      <c r="M554" s="1" t="s">
        <v>33</v>
      </c>
    </row>
    <row r="555" spans="1:13" x14ac:dyDescent="0.3">
      <c r="A555" s="1" t="s">
        <v>134</v>
      </c>
      <c r="B555" s="2">
        <v>46093</v>
      </c>
      <c r="C555" s="1" t="s">
        <v>89</v>
      </c>
      <c r="D555" s="1" t="s">
        <v>72</v>
      </c>
      <c r="E555" s="1" t="s">
        <v>73</v>
      </c>
      <c r="F555" s="1" t="s">
        <v>17</v>
      </c>
      <c r="G555" s="1" t="s">
        <v>91</v>
      </c>
      <c r="H555" s="1" t="s">
        <v>68</v>
      </c>
      <c r="I555">
        <v>5</v>
      </c>
      <c r="J555">
        <v>170</v>
      </c>
      <c r="K555">
        <v>0</v>
      </c>
      <c r="L555">
        <v>850</v>
      </c>
      <c r="M555" s="1" t="s">
        <v>20</v>
      </c>
    </row>
    <row r="556" spans="1:13" x14ac:dyDescent="0.3">
      <c r="A556" s="1" t="s">
        <v>134</v>
      </c>
      <c r="B556" s="2">
        <v>46082</v>
      </c>
      <c r="C556" s="1" t="s">
        <v>89</v>
      </c>
      <c r="D556" s="1" t="s">
        <v>49</v>
      </c>
      <c r="E556" s="1" t="s">
        <v>50</v>
      </c>
      <c r="F556" s="1" t="s">
        <v>45</v>
      </c>
      <c r="G556" s="1" t="s">
        <v>90</v>
      </c>
      <c r="H556" s="1" t="s">
        <v>46</v>
      </c>
      <c r="I556">
        <v>3</v>
      </c>
      <c r="J556">
        <v>35</v>
      </c>
      <c r="K556">
        <v>0</v>
      </c>
      <c r="L556">
        <v>105</v>
      </c>
      <c r="M556" s="1" t="s">
        <v>37</v>
      </c>
    </row>
    <row r="557" spans="1:13" x14ac:dyDescent="0.3">
      <c r="A557" s="1" t="s">
        <v>134</v>
      </c>
      <c r="B557" s="2">
        <v>46093</v>
      </c>
      <c r="C557" s="1" t="s">
        <v>89</v>
      </c>
      <c r="D557" s="1" t="s">
        <v>61</v>
      </c>
      <c r="E557" s="1" t="s">
        <v>62</v>
      </c>
      <c r="F557" s="1" t="s">
        <v>40</v>
      </c>
      <c r="G557" s="1" t="s">
        <v>90</v>
      </c>
      <c r="H557" s="1" t="s">
        <v>56</v>
      </c>
      <c r="I557">
        <v>2</v>
      </c>
      <c r="J557">
        <v>160</v>
      </c>
      <c r="K557">
        <v>0</v>
      </c>
      <c r="L557">
        <v>320</v>
      </c>
      <c r="M557" s="1" t="s">
        <v>25</v>
      </c>
    </row>
    <row r="558" spans="1:13" x14ac:dyDescent="0.3">
      <c r="A558" s="1" t="s">
        <v>134</v>
      </c>
      <c r="B558" s="2">
        <v>46099</v>
      </c>
      <c r="C558" s="1" t="s">
        <v>89</v>
      </c>
      <c r="D558" s="1" t="s">
        <v>34</v>
      </c>
      <c r="E558" s="1" t="s">
        <v>35</v>
      </c>
      <c r="F558" s="1" t="s">
        <v>28</v>
      </c>
      <c r="G558" s="1" t="s">
        <v>91</v>
      </c>
      <c r="H558" s="1" t="s">
        <v>78</v>
      </c>
      <c r="I558">
        <v>1</v>
      </c>
      <c r="J558">
        <v>120</v>
      </c>
      <c r="K558">
        <v>0.05</v>
      </c>
      <c r="L558">
        <v>114</v>
      </c>
      <c r="M558" s="1" t="s">
        <v>33</v>
      </c>
    </row>
    <row r="559" spans="1:13" x14ac:dyDescent="0.3">
      <c r="A559" s="1" t="s">
        <v>134</v>
      </c>
      <c r="B559" s="2">
        <v>46097</v>
      </c>
      <c r="C559" s="1" t="s">
        <v>89</v>
      </c>
      <c r="D559" s="1" t="s">
        <v>38</v>
      </c>
      <c r="E559" s="1" t="s">
        <v>39</v>
      </c>
      <c r="F559" s="1" t="s">
        <v>40</v>
      </c>
      <c r="G559" s="1" t="s">
        <v>91</v>
      </c>
      <c r="H559" s="1" t="s">
        <v>51</v>
      </c>
      <c r="I559">
        <v>5</v>
      </c>
      <c r="J559">
        <v>55</v>
      </c>
      <c r="K559">
        <v>0</v>
      </c>
      <c r="L559">
        <v>275</v>
      </c>
      <c r="M559" s="1" t="s">
        <v>37</v>
      </c>
    </row>
    <row r="560" spans="1:13" x14ac:dyDescent="0.3">
      <c r="A560" s="1" t="s">
        <v>134</v>
      </c>
      <c r="B560" s="2">
        <v>46092</v>
      </c>
      <c r="C560" s="1" t="s">
        <v>89</v>
      </c>
      <c r="D560" s="1" t="s">
        <v>49</v>
      </c>
      <c r="E560" s="1" t="s">
        <v>50</v>
      </c>
      <c r="F560" s="1" t="s">
        <v>45</v>
      </c>
      <c r="G560" s="1" t="s">
        <v>90</v>
      </c>
      <c r="H560" s="1" t="s">
        <v>79</v>
      </c>
      <c r="I560">
        <v>4</v>
      </c>
      <c r="J560">
        <v>35</v>
      </c>
      <c r="K560">
        <v>0.05</v>
      </c>
      <c r="L560">
        <v>133</v>
      </c>
      <c r="M560" s="1" t="s">
        <v>25</v>
      </c>
    </row>
    <row r="561" spans="1:13" x14ac:dyDescent="0.3">
      <c r="A561" s="1" t="s">
        <v>134</v>
      </c>
      <c r="B561" s="2">
        <v>46085</v>
      </c>
      <c r="C561" s="1" t="s">
        <v>89</v>
      </c>
      <c r="D561" s="1" t="s">
        <v>47</v>
      </c>
      <c r="E561" s="1" t="s">
        <v>48</v>
      </c>
      <c r="F561" s="1" t="s">
        <v>45</v>
      </c>
      <c r="G561" s="1" t="s">
        <v>91</v>
      </c>
      <c r="H561" s="1" t="s">
        <v>76</v>
      </c>
      <c r="I561">
        <v>5</v>
      </c>
      <c r="J561">
        <v>85</v>
      </c>
      <c r="K561">
        <v>0.1</v>
      </c>
      <c r="L561">
        <v>382.5</v>
      </c>
      <c r="M561" s="1" t="s">
        <v>37</v>
      </c>
    </row>
    <row r="562" spans="1:13" x14ac:dyDescent="0.3">
      <c r="A562" s="1" t="s">
        <v>134</v>
      </c>
      <c r="B562" s="2">
        <v>46085</v>
      </c>
      <c r="C562" s="1" t="s">
        <v>89</v>
      </c>
      <c r="D562" s="1" t="s">
        <v>21</v>
      </c>
      <c r="E562" s="1" t="s">
        <v>22</v>
      </c>
      <c r="F562" s="1" t="s">
        <v>23</v>
      </c>
      <c r="G562" s="1" t="s">
        <v>91</v>
      </c>
      <c r="H562" s="1" t="s">
        <v>75</v>
      </c>
      <c r="I562">
        <v>4</v>
      </c>
      <c r="J562">
        <v>220</v>
      </c>
      <c r="K562">
        <v>0</v>
      </c>
      <c r="L562">
        <v>880</v>
      </c>
      <c r="M562" s="1" t="s">
        <v>25</v>
      </c>
    </row>
    <row r="563" spans="1:13" x14ac:dyDescent="0.3">
      <c r="A563" s="1" t="s">
        <v>134</v>
      </c>
      <c r="B563" s="2">
        <v>46110</v>
      </c>
      <c r="C563" s="1" t="s">
        <v>89</v>
      </c>
      <c r="D563" s="1" t="s">
        <v>54</v>
      </c>
      <c r="E563" s="1" t="s">
        <v>55</v>
      </c>
      <c r="F563" s="1" t="s">
        <v>23</v>
      </c>
      <c r="G563" s="1" t="s">
        <v>90</v>
      </c>
      <c r="H563" s="1" t="s">
        <v>79</v>
      </c>
      <c r="I563">
        <v>2</v>
      </c>
      <c r="J563">
        <v>75</v>
      </c>
      <c r="K563">
        <v>0.1</v>
      </c>
      <c r="L563">
        <v>135</v>
      </c>
      <c r="M563" s="1" t="s">
        <v>33</v>
      </c>
    </row>
    <row r="564" spans="1:13" x14ac:dyDescent="0.3">
      <c r="A564" s="1" t="s">
        <v>134</v>
      </c>
      <c r="B564" s="2">
        <v>46100</v>
      </c>
      <c r="C564" s="1" t="s">
        <v>89</v>
      </c>
      <c r="D564" s="1" t="s">
        <v>61</v>
      </c>
      <c r="E564" s="1" t="s">
        <v>62</v>
      </c>
      <c r="F564" s="1" t="s">
        <v>40</v>
      </c>
      <c r="G564" s="1" t="s">
        <v>91</v>
      </c>
      <c r="H564" s="1" t="s">
        <v>79</v>
      </c>
      <c r="I564">
        <v>3</v>
      </c>
      <c r="J564">
        <v>160</v>
      </c>
      <c r="K564">
        <v>0</v>
      </c>
      <c r="L564">
        <v>480</v>
      </c>
      <c r="M564" s="1" t="s">
        <v>20</v>
      </c>
    </row>
    <row r="565" spans="1:13" x14ac:dyDescent="0.3">
      <c r="A565" s="1" t="s">
        <v>134</v>
      </c>
      <c r="B565" s="2">
        <v>46111</v>
      </c>
      <c r="C565" s="1" t="s">
        <v>89</v>
      </c>
      <c r="D565" s="1" t="s">
        <v>34</v>
      </c>
      <c r="E565" s="1" t="s">
        <v>35</v>
      </c>
      <c r="F565" s="1" t="s">
        <v>28</v>
      </c>
      <c r="G565" s="1" t="s">
        <v>91</v>
      </c>
      <c r="H565" s="1" t="s">
        <v>68</v>
      </c>
      <c r="I565">
        <v>3</v>
      </c>
      <c r="J565">
        <v>120</v>
      </c>
      <c r="K565">
        <v>0.1</v>
      </c>
      <c r="L565">
        <v>324</v>
      </c>
      <c r="M565" s="1" t="s">
        <v>20</v>
      </c>
    </row>
    <row r="566" spans="1:13" x14ac:dyDescent="0.3">
      <c r="A566" s="1" t="s">
        <v>134</v>
      </c>
      <c r="B566" s="2">
        <v>46098</v>
      </c>
      <c r="C566" s="1" t="s">
        <v>89</v>
      </c>
      <c r="D566" s="1" t="s">
        <v>57</v>
      </c>
      <c r="E566" s="1" t="s">
        <v>58</v>
      </c>
      <c r="F566" s="1" t="s">
        <v>17</v>
      </c>
      <c r="G566" s="1" t="s">
        <v>91</v>
      </c>
      <c r="H566" s="1" t="s">
        <v>84</v>
      </c>
      <c r="I566">
        <v>5</v>
      </c>
      <c r="J566">
        <v>45</v>
      </c>
      <c r="K566">
        <v>0</v>
      </c>
      <c r="L566">
        <v>225</v>
      </c>
      <c r="M566" s="1" t="s">
        <v>20</v>
      </c>
    </row>
    <row r="567" spans="1:13" x14ac:dyDescent="0.3">
      <c r="A567" s="1" t="s">
        <v>134</v>
      </c>
      <c r="B567" s="2">
        <v>46082</v>
      </c>
      <c r="C567" s="1" t="s">
        <v>89</v>
      </c>
      <c r="D567" s="1" t="s">
        <v>30</v>
      </c>
      <c r="E567" s="1" t="s">
        <v>31</v>
      </c>
      <c r="F567" s="1" t="s">
        <v>23</v>
      </c>
      <c r="G567" s="1" t="s">
        <v>91</v>
      </c>
      <c r="H567" s="1" t="s">
        <v>32</v>
      </c>
      <c r="I567">
        <v>5</v>
      </c>
      <c r="J567">
        <v>2800</v>
      </c>
      <c r="K567">
        <v>0.15</v>
      </c>
      <c r="L567">
        <v>11900</v>
      </c>
      <c r="M567" s="1" t="s">
        <v>25</v>
      </c>
    </row>
    <row r="568" spans="1:13" x14ac:dyDescent="0.3">
      <c r="A568" s="1" t="s">
        <v>134</v>
      </c>
      <c r="B568" s="2">
        <v>46092</v>
      </c>
      <c r="C568" s="1" t="s">
        <v>89</v>
      </c>
      <c r="D568" s="1" t="s">
        <v>26</v>
      </c>
      <c r="E568" s="1" t="s">
        <v>27</v>
      </c>
      <c r="F568" s="1" t="s">
        <v>28</v>
      </c>
      <c r="G568" s="1" t="s">
        <v>91</v>
      </c>
      <c r="H568" s="1" t="s">
        <v>78</v>
      </c>
      <c r="I568">
        <v>5</v>
      </c>
      <c r="J568">
        <v>180</v>
      </c>
      <c r="K568">
        <v>0</v>
      </c>
      <c r="L568">
        <v>900</v>
      </c>
      <c r="M568" s="1" t="s">
        <v>33</v>
      </c>
    </row>
    <row r="569" spans="1:13" x14ac:dyDescent="0.3">
      <c r="A569" s="1" t="s">
        <v>134</v>
      </c>
      <c r="B569" s="2">
        <v>46099</v>
      </c>
      <c r="C569" s="1" t="s">
        <v>89</v>
      </c>
      <c r="D569" s="1" t="s">
        <v>43</v>
      </c>
      <c r="E569" s="1" t="s">
        <v>44</v>
      </c>
      <c r="F569" s="1" t="s">
        <v>45</v>
      </c>
      <c r="G569" s="1" t="s">
        <v>91</v>
      </c>
      <c r="H569" s="1" t="s">
        <v>46</v>
      </c>
      <c r="I569">
        <v>4</v>
      </c>
      <c r="J569">
        <v>140</v>
      </c>
      <c r="K569">
        <v>0</v>
      </c>
      <c r="L569">
        <v>560</v>
      </c>
      <c r="M569" s="1" t="s">
        <v>37</v>
      </c>
    </row>
    <row r="570" spans="1:13" x14ac:dyDescent="0.3">
      <c r="A570" s="1" t="s">
        <v>134</v>
      </c>
      <c r="B570" s="2">
        <v>46084</v>
      </c>
      <c r="C570" s="1" t="s">
        <v>89</v>
      </c>
      <c r="D570" s="1" t="s">
        <v>54</v>
      </c>
      <c r="E570" s="1" t="s">
        <v>55</v>
      </c>
      <c r="F570" s="1" t="s">
        <v>23</v>
      </c>
      <c r="G570" s="1" t="s">
        <v>90</v>
      </c>
      <c r="H570" s="1" t="s">
        <v>81</v>
      </c>
      <c r="I570">
        <v>2</v>
      </c>
      <c r="J570">
        <v>75</v>
      </c>
      <c r="K570">
        <v>0</v>
      </c>
      <c r="L570">
        <v>150</v>
      </c>
      <c r="M570" s="1" t="s">
        <v>37</v>
      </c>
    </row>
    <row r="571" spans="1:13" x14ac:dyDescent="0.3">
      <c r="A571" s="1" t="s">
        <v>134</v>
      </c>
      <c r="B571" s="2">
        <v>46102</v>
      </c>
      <c r="C571" s="1" t="s">
        <v>89</v>
      </c>
      <c r="D571" s="1" t="s">
        <v>43</v>
      </c>
      <c r="E571" s="1" t="s">
        <v>44</v>
      </c>
      <c r="F571" s="1" t="s">
        <v>45</v>
      </c>
      <c r="G571" s="1" t="s">
        <v>91</v>
      </c>
      <c r="H571" s="1" t="s">
        <v>81</v>
      </c>
      <c r="I571">
        <v>2</v>
      </c>
      <c r="J571">
        <v>140</v>
      </c>
      <c r="K571">
        <v>0</v>
      </c>
      <c r="L571">
        <v>280</v>
      </c>
      <c r="M571" s="1" t="s">
        <v>37</v>
      </c>
    </row>
    <row r="572" spans="1:13" x14ac:dyDescent="0.3">
      <c r="A572" s="1" t="s">
        <v>134</v>
      </c>
      <c r="B572" s="2">
        <v>46099</v>
      </c>
      <c r="C572" s="1" t="s">
        <v>89</v>
      </c>
      <c r="D572" s="1" t="s">
        <v>38</v>
      </c>
      <c r="E572" s="1" t="s">
        <v>39</v>
      </c>
      <c r="F572" s="1" t="s">
        <v>40</v>
      </c>
      <c r="G572" s="1" t="s">
        <v>91</v>
      </c>
      <c r="H572" s="1" t="s">
        <v>77</v>
      </c>
      <c r="I572">
        <v>4</v>
      </c>
      <c r="J572">
        <v>55</v>
      </c>
      <c r="K572">
        <v>0</v>
      </c>
      <c r="L572">
        <v>220</v>
      </c>
      <c r="M572" s="1" t="s">
        <v>33</v>
      </c>
    </row>
    <row r="573" spans="1:13" x14ac:dyDescent="0.3">
      <c r="A573" s="1" t="s">
        <v>134</v>
      </c>
      <c r="B573" s="2">
        <v>46109</v>
      </c>
      <c r="C573" s="1" t="s">
        <v>89</v>
      </c>
      <c r="D573" s="1" t="s">
        <v>61</v>
      </c>
      <c r="E573" s="1" t="s">
        <v>62</v>
      </c>
      <c r="F573" s="1" t="s">
        <v>40</v>
      </c>
      <c r="G573" s="1" t="s">
        <v>90</v>
      </c>
      <c r="H573" s="1" t="s">
        <v>85</v>
      </c>
      <c r="I573">
        <v>1</v>
      </c>
      <c r="J573">
        <v>160</v>
      </c>
      <c r="K573">
        <v>0.05</v>
      </c>
      <c r="L573">
        <v>152</v>
      </c>
      <c r="M573" s="1" t="s">
        <v>37</v>
      </c>
    </row>
    <row r="574" spans="1:13" x14ac:dyDescent="0.3">
      <c r="A574" s="1" t="s">
        <v>134</v>
      </c>
      <c r="B574" s="2">
        <v>46083</v>
      </c>
      <c r="C574" s="1" t="s">
        <v>89</v>
      </c>
      <c r="D574" s="1" t="s">
        <v>15</v>
      </c>
      <c r="E574" s="1" t="s">
        <v>16</v>
      </c>
      <c r="F574" s="1" t="s">
        <v>17</v>
      </c>
      <c r="G574" s="1" t="s">
        <v>91</v>
      </c>
      <c r="H574" s="1" t="s">
        <v>76</v>
      </c>
      <c r="I574">
        <v>5</v>
      </c>
      <c r="J574">
        <v>60</v>
      </c>
      <c r="K574">
        <v>0</v>
      </c>
      <c r="L574">
        <v>300</v>
      </c>
      <c r="M574" s="1" t="s">
        <v>37</v>
      </c>
    </row>
    <row r="575" spans="1:13" x14ac:dyDescent="0.3">
      <c r="A575" s="1" t="s">
        <v>134</v>
      </c>
      <c r="B575" s="2">
        <v>46105</v>
      </c>
      <c r="C575" s="1" t="s">
        <v>89</v>
      </c>
      <c r="D575" s="1" t="s">
        <v>57</v>
      </c>
      <c r="E575" s="1" t="s">
        <v>58</v>
      </c>
      <c r="F575" s="1" t="s">
        <v>17</v>
      </c>
      <c r="G575" s="1" t="s">
        <v>91</v>
      </c>
      <c r="H575" s="1" t="s">
        <v>19</v>
      </c>
      <c r="I575">
        <v>1</v>
      </c>
      <c r="J575">
        <v>45</v>
      </c>
      <c r="K575">
        <v>0</v>
      </c>
      <c r="L575">
        <v>45</v>
      </c>
      <c r="M575" s="1" t="s">
        <v>25</v>
      </c>
    </row>
    <row r="576" spans="1:13" x14ac:dyDescent="0.3">
      <c r="A576" s="1" t="s">
        <v>134</v>
      </c>
      <c r="B576" s="2">
        <v>46099</v>
      </c>
      <c r="C576" s="1" t="s">
        <v>89</v>
      </c>
      <c r="D576" s="1" t="s">
        <v>26</v>
      </c>
      <c r="E576" s="1" t="s">
        <v>27</v>
      </c>
      <c r="F576" s="1" t="s">
        <v>28</v>
      </c>
      <c r="G576" s="1" t="s">
        <v>91</v>
      </c>
      <c r="H576" s="1" t="s">
        <v>81</v>
      </c>
      <c r="I576">
        <v>1</v>
      </c>
      <c r="J576">
        <v>180</v>
      </c>
      <c r="K576">
        <v>0.05</v>
      </c>
      <c r="L576">
        <v>171</v>
      </c>
      <c r="M576" s="1" t="s">
        <v>20</v>
      </c>
    </row>
    <row r="577" spans="1:13" x14ac:dyDescent="0.3">
      <c r="A577" s="1" t="s">
        <v>134</v>
      </c>
      <c r="B577" s="2">
        <v>46098</v>
      </c>
      <c r="C577" s="1" t="s">
        <v>89</v>
      </c>
      <c r="D577" s="1" t="s">
        <v>65</v>
      </c>
      <c r="E577" s="1" t="s">
        <v>66</v>
      </c>
      <c r="F577" s="1" t="s">
        <v>40</v>
      </c>
      <c r="G577" s="1" t="s">
        <v>91</v>
      </c>
      <c r="H577" s="1" t="s">
        <v>53</v>
      </c>
      <c r="I577">
        <v>1</v>
      </c>
      <c r="J577">
        <v>210</v>
      </c>
      <c r="K577">
        <v>0</v>
      </c>
      <c r="L577">
        <v>210</v>
      </c>
      <c r="M577" s="1" t="s">
        <v>37</v>
      </c>
    </row>
    <row r="578" spans="1:13" x14ac:dyDescent="0.3">
      <c r="A578" s="1" t="s">
        <v>134</v>
      </c>
      <c r="B578" s="2">
        <v>46083</v>
      </c>
      <c r="C578" s="1" t="s">
        <v>89</v>
      </c>
      <c r="D578" s="1" t="s">
        <v>69</v>
      </c>
      <c r="E578" s="1" t="s">
        <v>70</v>
      </c>
      <c r="F578" s="1" t="s">
        <v>28</v>
      </c>
      <c r="G578" s="1" t="s">
        <v>91</v>
      </c>
      <c r="H578" s="1" t="s">
        <v>64</v>
      </c>
      <c r="I578">
        <v>3</v>
      </c>
      <c r="J578">
        <v>95</v>
      </c>
      <c r="K578">
        <v>0</v>
      </c>
      <c r="L578">
        <v>285</v>
      </c>
      <c r="M578" s="1" t="s">
        <v>20</v>
      </c>
    </row>
    <row r="579" spans="1:13" x14ac:dyDescent="0.3">
      <c r="A579" s="1" t="s">
        <v>134</v>
      </c>
      <c r="B579" s="2">
        <v>46100</v>
      </c>
      <c r="C579" s="1" t="s">
        <v>89</v>
      </c>
      <c r="D579" s="1" t="s">
        <v>30</v>
      </c>
      <c r="E579" s="1" t="s">
        <v>31</v>
      </c>
      <c r="F579" s="1" t="s">
        <v>23</v>
      </c>
      <c r="G579" s="1" t="s">
        <v>90</v>
      </c>
      <c r="H579" s="1" t="s">
        <v>32</v>
      </c>
      <c r="I579">
        <v>4</v>
      </c>
      <c r="J579">
        <v>2800</v>
      </c>
      <c r="K579">
        <v>0.05</v>
      </c>
      <c r="L579">
        <v>10640</v>
      </c>
      <c r="M579" s="1" t="s">
        <v>25</v>
      </c>
    </row>
    <row r="580" spans="1:13" x14ac:dyDescent="0.3">
      <c r="A580" s="1" t="s">
        <v>134</v>
      </c>
      <c r="B580" s="2">
        <v>46084</v>
      </c>
      <c r="C580" s="1" t="s">
        <v>89</v>
      </c>
      <c r="D580" s="1" t="s">
        <v>26</v>
      </c>
      <c r="E580" s="1" t="s">
        <v>27</v>
      </c>
      <c r="F580" s="1" t="s">
        <v>28</v>
      </c>
      <c r="G580" s="1" t="s">
        <v>91</v>
      </c>
      <c r="H580" s="1" t="s">
        <v>74</v>
      </c>
      <c r="I580">
        <v>1</v>
      </c>
      <c r="J580">
        <v>180</v>
      </c>
      <c r="K580">
        <v>0</v>
      </c>
      <c r="L580">
        <v>180</v>
      </c>
      <c r="M580" s="1" t="s">
        <v>20</v>
      </c>
    </row>
    <row r="581" spans="1:13" x14ac:dyDescent="0.3">
      <c r="A581" s="1" t="s">
        <v>134</v>
      </c>
      <c r="B581" s="2">
        <v>46085</v>
      </c>
      <c r="C581" s="1" t="s">
        <v>89</v>
      </c>
      <c r="D581" s="1" t="s">
        <v>26</v>
      </c>
      <c r="E581" s="1" t="s">
        <v>27</v>
      </c>
      <c r="F581" s="1" t="s">
        <v>28</v>
      </c>
      <c r="G581" s="1" t="s">
        <v>90</v>
      </c>
      <c r="H581" s="1" t="s">
        <v>59</v>
      </c>
      <c r="I581">
        <v>3</v>
      </c>
      <c r="J581">
        <v>180</v>
      </c>
      <c r="K581">
        <v>0</v>
      </c>
      <c r="L581">
        <v>540</v>
      </c>
      <c r="M581" s="1" t="s">
        <v>33</v>
      </c>
    </row>
    <row r="582" spans="1:13" x14ac:dyDescent="0.3">
      <c r="A582" s="1" t="s">
        <v>134</v>
      </c>
      <c r="B582" s="2">
        <v>46090</v>
      </c>
      <c r="C582" s="1" t="s">
        <v>89</v>
      </c>
      <c r="D582" s="1" t="s">
        <v>43</v>
      </c>
      <c r="E582" s="1" t="s">
        <v>44</v>
      </c>
      <c r="F582" s="1" t="s">
        <v>45</v>
      </c>
      <c r="G582" s="1" t="s">
        <v>90</v>
      </c>
      <c r="H582" s="1" t="s">
        <v>63</v>
      </c>
      <c r="I582">
        <v>3</v>
      </c>
      <c r="J582">
        <v>140</v>
      </c>
      <c r="K582">
        <v>0.1</v>
      </c>
      <c r="L582">
        <v>378</v>
      </c>
      <c r="M582" s="1" t="s">
        <v>25</v>
      </c>
    </row>
    <row r="583" spans="1:13" x14ac:dyDescent="0.3">
      <c r="A583" s="1" t="s">
        <v>134</v>
      </c>
      <c r="B583" s="2">
        <v>46101</v>
      </c>
      <c r="C583" s="1" t="s">
        <v>89</v>
      </c>
      <c r="D583" s="1" t="s">
        <v>34</v>
      </c>
      <c r="E583" s="1" t="s">
        <v>35</v>
      </c>
      <c r="F583" s="1" t="s">
        <v>28</v>
      </c>
      <c r="G583" s="1" t="s">
        <v>90</v>
      </c>
      <c r="H583" s="1" t="s">
        <v>80</v>
      </c>
      <c r="I583">
        <v>1</v>
      </c>
      <c r="J583">
        <v>120</v>
      </c>
      <c r="K583">
        <v>0.15</v>
      </c>
      <c r="L583">
        <v>102</v>
      </c>
      <c r="M583" s="1" t="s">
        <v>37</v>
      </c>
    </row>
    <row r="584" spans="1:13" x14ac:dyDescent="0.3">
      <c r="A584" s="1" t="s">
        <v>134</v>
      </c>
      <c r="B584" s="2">
        <v>46105</v>
      </c>
      <c r="C584" s="1" t="s">
        <v>89</v>
      </c>
      <c r="D584" s="1" t="s">
        <v>49</v>
      </c>
      <c r="E584" s="1" t="s">
        <v>50</v>
      </c>
      <c r="F584" s="1" t="s">
        <v>45</v>
      </c>
      <c r="G584" s="1" t="s">
        <v>90</v>
      </c>
      <c r="H584" s="1" t="s">
        <v>59</v>
      </c>
      <c r="I584">
        <v>2</v>
      </c>
      <c r="J584">
        <v>35</v>
      </c>
      <c r="K584">
        <v>0.05</v>
      </c>
      <c r="L584">
        <v>66.5</v>
      </c>
      <c r="M584" s="1" t="s">
        <v>20</v>
      </c>
    </row>
    <row r="585" spans="1:13" x14ac:dyDescent="0.3">
      <c r="A585" s="1" t="s">
        <v>134</v>
      </c>
      <c r="B585" s="2">
        <v>46085</v>
      </c>
      <c r="C585" s="1" t="s">
        <v>89</v>
      </c>
      <c r="D585" s="1" t="s">
        <v>30</v>
      </c>
      <c r="E585" s="1" t="s">
        <v>31</v>
      </c>
      <c r="F585" s="1" t="s">
        <v>23</v>
      </c>
      <c r="G585" s="1" t="s">
        <v>90</v>
      </c>
      <c r="H585" s="1" t="s">
        <v>56</v>
      </c>
      <c r="I585">
        <v>3</v>
      </c>
      <c r="J585">
        <v>2800</v>
      </c>
      <c r="K585">
        <v>0.05</v>
      </c>
      <c r="L585">
        <v>7980</v>
      </c>
      <c r="M585" s="1" t="s">
        <v>37</v>
      </c>
    </row>
    <row r="586" spans="1:13" x14ac:dyDescent="0.3">
      <c r="A586" s="1" t="s">
        <v>134</v>
      </c>
      <c r="B586" s="2">
        <v>46103</v>
      </c>
      <c r="C586" s="1" t="s">
        <v>89</v>
      </c>
      <c r="D586" s="1" t="s">
        <v>34</v>
      </c>
      <c r="E586" s="1" t="s">
        <v>35</v>
      </c>
      <c r="F586" s="1" t="s">
        <v>28</v>
      </c>
      <c r="G586" s="1" t="s">
        <v>91</v>
      </c>
      <c r="H586" s="1" t="s">
        <v>24</v>
      </c>
      <c r="I586">
        <v>5</v>
      </c>
      <c r="J586">
        <v>120</v>
      </c>
      <c r="K586">
        <v>0</v>
      </c>
      <c r="L586">
        <v>600</v>
      </c>
      <c r="M586" s="1" t="s">
        <v>37</v>
      </c>
    </row>
    <row r="587" spans="1:13" x14ac:dyDescent="0.3">
      <c r="A587" s="1" t="s">
        <v>134</v>
      </c>
      <c r="B587" s="2">
        <v>46092</v>
      </c>
      <c r="C587" s="1" t="s">
        <v>89</v>
      </c>
      <c r="D587" s="1" t="s">
        <v>30</v>
      </c>
      <c r="E587" s="1" t="s">
        <v>31</v>
      </c>
      <c r="F587" s="1" t="s">
        <v>23</v>
      </c>
      <c r="G587" s="1" t="s">
        <v>90</v>
      </c>
      <c r="H587" s="1" t="s">
        <v>52</v>
      </c>
      <c r="I587">
        <v>4</v>
      </c>
      <c r="J587">
        <v>2800</v>
      </c>
      <c r="K587">
        <v>0</v>
      </c>
      <c r="L587">
        <v>11200</v>
      </c>
      <c r="M587" s="1" t="s">
        <v>20</v>
      </c>
    </row>
    <row r="588" spans="1:13" x14ac:dyDescent="0.3">
      <c r="A588" s="1" t="s">
        <v>134</v>
      </c>
      <c r="B588" s="2">
        <v>46102</v>
      </c>
      <c r="C588" s="1" t="s">
        <v>89</v>
      </c>
      <c r="D588" s="1" t="s">
        <v>57</v>
      </c>
      <c r="E588" s="1" t="s">
        <v>58</v>
      </c>
      <c r="F588" s="1" t="s">
        <v>17</v>
      </c>
      <c r="G588" s="1" t="s">
        <v>91</v>
      </c>
      <c r="H588" s="1" t="s">
        <v>85</v>
      </c>
      <c r="I588">
        <v>4</v>
      </c>
      <c r="J588">
        <v>45</v>
      </c>
      <c r="K588">
        <v>0.05</v>
      </c>
      <c r="L588">
        <v>171</v>
      </c>
      <c r="M588" s="1" t="s">
        <v>25</v>
      </c>
    </row>
    <row r="589" spans="1:13" x14ac:dyDescent="0.3">
      <c r="A589" s="1" t="s">
        <v>134</v>
      </c>
      <c r="B589" s="2">
        <v>46106</v>
      </c>
      <c r="C589" s="1" t="s">
        <v>89</v>
      </c>
      <c r="D589" s="1" t="s">
        <v>26</v>
      </c>
      <c r="E589" s="1" t="s">
        <v>27</v>
      </c>
      <c r="F589" s="1" t="s">
        <v>28</v>
      </c>
      <c r="G589" s="1" t="s">
        <v>90</v>
      </c>
      <c r="H589" s="1" t="s">
        <v>64</v>
      </c>
      <c r="I589">
        <v>5</v>
      </c>
      <c r="J589">
        <v>180</v>
      </c>
      <c r="K589">
        <v>0</v>
      </c>
      <c r="L589">
        <v>900</v>
      </c>
      <c r="M589" s="1" t="s">
        <v>33</v>
      </c>
    </row>
    <row r="590" spans="1:13" x14ac:dyDescent="0.3">
      <c r="A590" s="1" t="s">
        <v>134</v>
      </c>
      <c r="B590" s="2">
        <v>46082</v>
      </c>
      <c r="C590" s="1" t="s">
        <v>89</v>
      </c>
      <c r="D590" s="1" t="s">
        <v>65</v>
      </c>
      <c r="E590" s="1" t="s">
        <v>66</v>
      </c>
      <c r="F590" s="1" t="s">
        <v>40</v>
      </c>
      <c r="G590" s="1" t="s">
        <v>90</v>
      </c>
      <c r="H590" s="1" t="s">
        <v>29</v>
      </c>
      <c r="I590">
        <v>2</v>
      </c>
      <c r="J590">
        <v>210</v>
      </c>
      <c r="K590">
        <v>0</v>
      </c>
      <c r="L590">
        <v>420</v>
      </c>
      <c r="M590" s="1" t="s">
        <v>37</v>
      </c>
    </row>
    <row r="591" spans="1:13" x14ac:dyDescent="0.3">
      <c r="A591" s="1" t="s">
        <v>134</v>
      </c>
      <c r="B591" s="2">
        <v>46093</v>
      </c>
      <c r="C591" s="1" t="s">
        <v>89</v>
      </c>
      <c r="D591" s="1" t="s">
        <v>54</v>
      </c>
      <c r="E591" s="1" t="s">
        <v>55</v>
      </c>
      <c r="F591" s="1" t="s">
        <v>23</v>
      </c>
      <c r="G591" s="1" t="s">
        <v>90</v>
      </c>
      <c r="H591" s="1" t="s">
        <v>85</v>
      </c>
      <c r="I591">
        <v>1</v>
      </c>
      <c r="J591">
        <v>75</v>
      </c>
      <c r="K591">
        <v>0.05</v>
      </c>
      <c r="L591">
        <v>71.25</v>
      </c>
      <c r="M591" s="1" t="s">
        <v>33</v>
      </c>
    </row>
    <row r="592" spans="1:13" x14ac:dyDescent="0.3">
      <c r="A592" s="1" t="s">
        <v>134</v>
      </c>
      <c r="B592" s="2">
        <v>46112</v>
      </c>
      <c r="C592" s="1" t="s">
        <v>89</v>
      </c>
      <c r="D592" s="1" t="s">
        <v>30</v>
      </c>
      <c r="E592" s="1" t="s">
        <v>31</v>
      </c>
      <c r="F592" s="1" t="s">
        <v>23</v>
      </c>
      <c r="G592" s="1" t="s">
        <v>90</v>
      </c>
      <c r="H592" s="1" t="s">
        <v>75</v>
      </c>
      <c r="I592">
        <v>5</v>
      </c>
      <c r="J592">
        <v>2800</v>
      </c>
      <c r="K592">
        <v>0</v>
      </c>
      <c r="L592">
        <v>14000</v>
      </c>
      <c r="M592" s="1" t="s">
        <v>25</v>
      </c>
    </row>
    <row r="593" spans="1:13" x14ac:dyDescent="0.3">
      <c r="A593" s="1" t="s">
        <v>134</v>
      </c>
      <c r="B593" s="2">
        <v>46101</v>
      </c>
      <c r="C593" s="1" t="s">
        <v>89</v>
      </c>
      <c r="D593" s="1" t="s">
        <v>47</v>
      </c>
      <c r="E593" s="1" t="s">
        <v>48</v>
      </c>
      <c r="F593" s="1" t="s">
        <v>45</v>
      </c>
      <c r="G593" s="1" t="s">
        <v>90</v>
      </c>
      <c r="H593" s="1" t="s">
        <v>80</v>
      </c>
      <c r="I593">
        <v>1</v>
      </c>
      <c r="J593">
        <v>85</v>
      </c>
      <c r="K593">
        <v>0</v>
      </c>
      <c r="L593">
        <v>85</v>
      </c>
      <c r="M593" s="1" t="s">
        <v>33</v>
      </c>
    </row>
    <row r="594" spans="1:13" x14ac:dyDescent="0.3">
      <c r="A594" s="1" t="s">
        <v>134</v>
      </c>
      <c r="B594" s="2">
        <v>46096</v>
      </c>
      <c r="C594" s="1" t="s">
        <v>89</v>
      </c>
      <c r="D594" s="1" t="s">
        <v>15</v>
      </c>
      <c r="E594" s="1" t="s">
        <v>16</v>
      </c>
      <c r="F594" s="1" t="s">
        <v>17</v>
      </c>
      <c r="G594" s="1" t="s">
        <v>90</v>
      </c>
      <c r="H594" s="1" t="s">
        <v>68</v>
      </c>
      <c r="I594">
        <v>2</v>
      </c>
      <c r="J594">
        <v>60</v>
      </c>
      <c r="K594">
        <v>0</v>
      </c>
      <c r="L594">
        <v>120</v>
      </c>
      <c r="M594" s="1" t="s">
        <v>20</v>
      </c>
    </row>
    <row r="595" spans="1:13" x14ac:dyDescent="0.3">
      <c r="A595" s="1" t="s">
        <v>134</v>
      </c>
      <c r="B595" s="2">
        <v>46106</v>
      </c>
      <c r="C595" s="1" t="s">
        <v>89</v>
      </c>
      <c r="D595" s="1" t="s">
        <v>49</v>
      </c>
      <c r="E595" s="1" t="s">
        <v>50</v>
      </c>
      <c r="F595" s="1" t="s">
        <v>45</v>
      </c>
      <c r="G595" s="1" t="s">
        <v>90</v>
      </c>
      <c r="H595" s="1" t="s">
        <v>82</v>
      </c>
      <c r="I595">
        <v>3</v>
      </c>
      <c r="J595">
        <v>35</v>
      </c>
      <c r="K595">
        <v>0</v>
      </c>
      <c r="L595">
        <v>105</v>
      </c>
      <c r="M595" s="1" t="s">
        <v>37</v>
      </c>
    </row>
    <row r="596" spans="1:13" x14ac:dyDescent="0.3">
      <c r="A596" s="1" t="s">
        <v>134</v>
      </c>
      <c r="B596" s="2">
        <v>46108</v>
      </c>
      <c r="C596" s="1" t="s">
        <v>89</v>
      </c>
      <c r="D596" s="1" t="s">
        <v>69</v>
      </c>
      <c r="E596" s="1" t="s">
        <v>70</v>
      </c>
      <c r="F596" s="1" t="s">
        <v>28</v>
      </c>
      <c r="G596" s="1" t="s">
        <v>91</v>
      </c>
      <c r="H596" s="1" t="s">
        <v>19</v>
      </c>
      <c r="I596">
        <v>1</v>
      </c>
      <c r="J596">
        <v>95</v>
      </c>
      <c r="K596">
        <v>0</v>
      </c>
      <c r="L596">
        <v>95</v>
      </c>
      <c r="M596" s="1" t="s">
        <v>37</v>
      </c>
    </row>
    <row r="597" spans="1:13" x14ac:dyDescent="0.3">
      <c r="A597" s="1" t="s">
        <v>134</v>
      </c>
      <c r="B597" s="2">
        <v>46087</v>
      </c>
      <c r="C597" s="1" t="s">
        <v>89</v>
      </c>
      <c r="D597" s="1" t="s">
        <v>57</v>
      </c>
      <c r="E597" s="1" t="s">
        <v>58</v>
      </c>
      <c r="F597" s="1" t="s">
        <v>17</v>
      </c>
      <c r="G597" s="1" t="s">
        <v>91</v>
      </c>
      <c r="H597" s="1" t="s">
        <v>52</v>
      </c>
      <c r="I597">
        <v>2</v>
      </c>
      <c r="J597">
        <v>45</v>
      </c>
      <c r="K597">
        <v>0.05</v>
      </c>
      <c r="L597">
        <v>85.5</v>
      </c>
      <c r="M597" s="1" t="s">
        <v>37</v>
      </c>
    </row>
    <row r="598" spans="1:13" x14ac:dyDescent="0.3">
      <c r="A598" s="1" t="s">
        <v>134</v>
      </c>
      <c r="B598" s="2">
        <v>46104</v>
      </c>
      <c r="C598" s="1" t="s">
        <v>89</v>
      </c>
      <c r="D598" s="1" t="s">
        <v>21</v>
      </c>
      <c r="E598" s="1" t="s">
        <v>22</v>
      </c>
      <c r="F598" s="1" t="s">
        <v>23</v>
      </c>
      <c r="G598" s="1" t="s">
        <v>91</v>
      </c>
      <c r="H598" s="1" t="s">
        <v>19</v>
      </c>
      <c r="I598">
        <v>1</v>
      </c>
      <c r="J598">
        <v>220</v>
      </c>
      <c r="K598">
        <v>0.1</v>
      </c>
      <c r="L598">
        <v>198</v>
      </c>
      <c r="M598" s="1" t="s">
        <v>25</v>
      </c>
    </row>
    <row r="599" spans="1:13" x14ac:dyDescent="0.3">
      <c r="A599" s="1" t="s">
        <v>134</v>
      </c>
      <c r="B599" s="2">
        <v>46082</v>
      </c>
      <c r="C599" s="1" t="s">
        <v>89</v>
      </c>
      <c r="D599" s="1" t="s">
        <v>38</v>
      </c>
      <c r="E599" s="1" t="s">
        <v>39</v>
      </c>
      <c r="F599" s="1" t="s">
        <v>40</v>
      </c>
      <c r="G599" s="1" t="s">
        <v>91</v>
      </c>
      <c r="H599" s="1" t="s">
        <v>75</v>
      </c>
      <c r="I599">
        <v>3</v>
      </c>
      <c r="J599">
        <v>55</v>
      </c>
      <c r="K599">
        <v>0.05</v>
      </c>
      <c r="L599">
        <v>156.75</v>
      </c>
      <c r="M599" s="1" t="s">
        <v>25</v>
      </c>
    </row>
    <row r="600" spans="1:13" x14ac:dyDescent="0.3">
      <c r="A600" s="1" t="s">
        <v>134</v>
      </c>
      <c r="B600" s="2">
        <v>46104</v>
      </c>
      <c r="C600" s="1" t="s">
        <v>89</v>
      </c>
      <c r="D600" s="1" t="s">
        <v>15</v>
      </c>
      <c r="E600" s="1" t="s">
        <v>16</v>
      </c>
      <c r="F600" s="1" t="s">
        <v>17</v>
      </c>
      <c r="G600" s="1" t="s">
        <v>91</v>
      </c>
      <c r="H600" s="1" t="s">
        <v>64</v>
      </c>
      <c r="I600">
        <v>4</v>
      </c>
      <c r="J600">
        <v>60</v>
      </c>
      <c r="K600">
        <v>0</v>
      </c>
      <c r="L600">
        <v>240</v>
      </c>
      <c r="M600" s="1" t="s">
        <v>25</v>
      </c>
    </row>
    <row r="601" spans="1:13" x14ac:dyDescent="0.3">
      <c r="A601" s="1" t="s">
        <v>134</v>
      </c>
      <c r="B601" s="2">
        <v>46094</v>
      </c>
      <c r="C601" s="1" t="s">
        <v>89</v>
      </c>
      <c r="D601" s="1" t="s">
        <v>65</v>
      </c>
      <c r="E601" s="1" t="s">
        <v>66</v>
      </c>
      <c r="F601" s="1" t="s">
        <v>40</v>
      </c>
      <c r="G601" s="1" t="s">
        <v>90</v>
      </c>
      <c r="H601" s="1" t="s">
        <v>29</v>
      </c>
      <c r="I601">
        <v>4</v>
      </c>
      <c r="J601">
        <v>210</v>
      </c>
      <c r="K601">
        <v>0</v>
      </c>
      <c r="L601">
        <v>840</v>
      </c>
      <c r="M601" s="1" t="s">
        <v>37</v>
      </c>
    </row>
    <row r="602" spans="1:13" x14ac:dyDescent="0.3">
      <c r="A602" s="1" t="s">
        <v>93</v>
      </c>
      <c r="B602" s="2">
        <v>46030</v>
      </c>
      <c r="C602" s="1" t="s">
        <v>94</v>
      </c>
      <c r="D602" s="1" t="s">
        <v>43</v>
      </c>
      <c r="E602" s="1" t="s">
        <v>44</v>
      </c>
      <c r="F602" s="1" t="s">
        <v>45</v>
      </c>
      <c r="G602" s="1" t="s">
        <v>95</v>
      </c>
      <c r="H602" s="1" t="s">
        <v>76</v>
      </c>
      <c r="I602">
        <v>1</v>
      </c>
      <c r="J602">
        <v>140</v>
      </c>
      <c r="K602">
        <v>0.05</v>
      </c>
      <c r="L602">
        <v>133</v>
      </c>
      <c r="M602" s="1" t="s">
        <v>25</v>
      </c>
    </row>
    <row r="603" spans="1:13" x14ac:dyDescent="0.3">
      <c r="A603" s="1" t="s">
        <v>93</v>
      </c>
      <c r="B603" s="2">
        <v>46029</v>
      </c>
      <c r="C603" s="1" t="s">
        <v>94</v>
      </c>
      <c r="D603" s="1" t="s">
        <v>38</v>
      </c>
      <c r="E603" s="1" t="s">
        <v>39</v>
      </c>
      <c r="F603" s="1" t="s">
        <v>40</v>
      </c>
      <c r="G603" s="1" t="s">
        <v>95</v>
      </c>
      <c r="H603" s="1" t="s">
        <v>29</v>
      </c>
      <c r="I603">
        <v>1</v>
      </c>
      <c r="J603">
        <v>55</v>
      </c>
      <c r="K603">
        <v>0</v>
      </c>
      <c r="L603">
        <v>55</v>
      </c>
      <c r="M603" s="1" t="s">
        <v>33</v>
      </c>
    </row>
    <row r="604" spans="1:13" x14ac:dyDescent="0.3">
      <c r="A604" s="1" t="s">
        <v>93</v>
      </c>
      <c r="B604" s="2">
        <v>46037</v>
      </c>
      <c r="C604" s="1" t="s">
        <v>94</v>
      </c>
      <c r="D604" s="1" t="s">
        <v>47</v>
      </c>
      <c r="E604" s="1" t="s">
        <v>48</v>
      </c>
      <c r="F604" s="1" t="s">
        <v>45</v>
      </c>
      <c r="G604" s="1" t="s">
        <v>96</v>
      </c>
      <c r="H604" s="1" t="s">
        <v>29</v>
      </c>
      <c r="I604">
        <v>5</v>
      </c>
      <c r="J604">
        <v>85</v>
      </c>
      <c r="K604">
        <v>0</v>
      </c>
      <c r="L604">
        <v>425</v>
      </c>
      <c r="M604" s="1" t="s">
        <v>33</v>
      </c>
    </row>
    <row r="605" spans="1:13" x14ac:dyDescent="0.3">
      <c r="A605" s="1" t="s">
        <v>93</v>
      </c>
      <c r="B605" s="2">
        <v>46029</v>
      </c>
      <c r="C605" s="1" t="s">
        <v>94</v>
      </c>
      <c r="D605" s="1" t="s">
        <v>47</v>
      </c>
      <c r="E605" s="1" t="s">
        <v>48</v>
      </c>
      <c r="F605" s="1" t="s">
        <v>45</v>
      </c>
      <c r="G605" s="1" t="s">
        <v>96</v>
      </c>
      <c r="H605" s="1" t="s">
        <v>56</v>
      </c>
      <c r="I605">
        <v>3</v>
      </c>
      <c r="J605">
        <v>85</v>
      </c>
      <c r="K605">
        <v>0</v>
      </c>
      <c r="L605">
        <v>255</v>
      </c>
      <c r="M605" s="1" t="s">
        <v>25</v>
      </c>
    </row>
    <row r="606" spans="1:13" x14ac:dyDescent="0.3">
      <c r="A606" s="1" t="s">
        <v>93</v>
      </c>
      <c r="B606" s="2">
        <v>46048</v>
      </c>
      <c r="C606" s="1" t="s">
        <v>94</v>
      </c>
      <c r="D606" s="1" t="s">
        <v>69</v>
      </c>
      <c r="E606" s="1" t="s">
        <v>70</v>
      </c>
      <c r="F606" s="1" t="s">
        <v>28</v>
      </c>
      <c r="G606" s="1" t="s">
        <v>95</v>
      </c>
      <c r="H606" s="1" t="s">
        <v>52</v>
      </c>
      <c r="I606">
        <v>3</v>
      </c>
      <c r="J606">
        <v>95</v>
      </c>
      <c r="K606">
        <v>0.05</v>
      </c>
      <c r="L606">
        <v>270.75</v>
      </c>
      <c r="M606" s="1" t="s">
        <v>25</v>
      </c>
    </row>
    <row r="607" spans="1:13" x14ac:dyDescent="0.3">
      <c r="A607" s="1" t="s">
        <v>93</v>
      </c>
      <c r="B607" s="2">
        <v>46032</v>
      </c>
      <c r="C607" s="1" t="s">
        <v>94</v>
      </c>
      <c r="D607" s="1" t="s">
        <v>57</v>
      </c>
      <c r="E607" s="1" t="s">
        <v>58</v>
      </c>
      <c r="F607" s="1" t="s">
        <v>17</v>
      </c>
      <c r="G607" s="1" t="s">
        <v>96</v>
      </c>
      <c r="H607" s="1" t="s">
        <v>67</v>
      </c>
      <c r="I607">
        <v>4</v>
      </c>
      <c r="J607">
        <v>45</v>
      </c>
      <c r="K607">
        <v>0</v>
      </c>
      <c r="L607">
        <v>180</v>
      </c>
      <c r="M607" s="1" t="s">
        <v>25</v>
      </c>
    </row>
    <row r="608" spans="1:13" x14ac:dyDescent="0.3">
      <c r="A608" s="1" t="s">
        <v>93</v>
      </c>
      <c r="B608" s="2">
        <v>46025</v>
      </c>
      <c r="C608" s="1" t="s">
        <v>94</v>
      </c>
      <c r="D608" s="1" t="s">
        <v>30</v>
      </c>
      <c r="E608" s="1" t="s">
        <v>31</v>
      </c>
      <c r="F608" s="1" t="s">
        <v>23</v>
      </c>
      <c r="G608" s="1" t="s">
        <v>95</v>
      </c>
      <c r="H608" s="1" t="s">
        <v>56</v>
      </c>
      <c r="I608">
        <v>2</v>
      </c>
      <c r="J608">
        <v>2800</v>
      </c>
      <c r="K608">
        <v>0.05</v>
      </c>
      <c r="L608">
        <v>5320</v>
      </c>
      <c r="M608" s="1" t="s">
        <v>20</v>
      </c>
    </row>
    <row r="609" spans="1:13" x14ac:dyDescent="0.3">
      <c r="A609" s="1" t="s">
        <v>93</v>
      </c>
      <c r="B609" s="2">
        <v>46034</v>
      </c>
      <c r="C609" s="1" t="s">
        <v>94</v>
      </c>
      <c r="D609" s="1" t="s">
        <v>61</v>
      </c>
      <c r="E609" s="1" t="s">
        <v>62</v>
      </c>
      <c r="F609" s="1" t="s">
        <v>40</v>
      </c>
      <c r="G609" s="1" t="s">
        <v>95</v>
      </c>
      <c r="H609" s="1" t="s">
        <v>67</v>
      </c>
      <c r="I609">
        <v>3</v>
      </c>
      <c r="J609">
        <v>160</v>
      </c>
      <c r="K609">
        <v>0</v>
      </c>
      <c r="L609">
        <v>480</v>
      </c>
      <c r="M609" s="1" t="s">
        <v>25</v>
      </c>
    </row>
    <row r="610" spans="1:13" x14ac:dyDescent="0.3">
      <c r="A610" s="1" t="s">
        <v>93</v>
      </c>
      <c r="B610" s="2">
        <v>46030</v>
      </c>
      <c r="C610" s="1" t="s">
        <v>94</v>
      </c>
      <c r="D610" s="1" t="s">
        <v>38</v>
      </c>
      <c r="E610" s="1" t="s">
        <v>39</v>
      </c>
      <c r="F610" s="1" t="s">
        <v>40</v>
      </c>
      <c r="G610" s="1" t="s">
        <v>95</v>
      </c>
      <c r="H610" s="1" t="s">
        <v>85</v>
      </c>
      <c r="I610">
        <v>2</v>
      </c>
      <c r="J610">
        <v>55</v>
      </c>
      <c r="K610">
        <v>0</v>
      </c>
      <c r="L610">
        <v>110</v>
      </c>
      <c r="M610" s="1" t="s">
        <v>33</v>
      </c>
    </row>
    <row r="611" spans="1:13" x14ac:dyDescent="0.3">
      <c r="A611" s="1" t="s">
        <v>93</v>
      </c>
      <c r="B611" s="2">
        <v>46024</v>
      </c>
      <c r="C611" s="1" t="s">
        <v>94</v>
      </c>
      <c r="D611" s="1" t="s">
        <v>43</v>
      </c>
      <c r="E611" s="1" t="s">
        <v>44</v>
      </c>
      <c r="F611" s="1" t="s">
        <v>45</v>
      </c>
      <c r="G611" s="1" t="s">
        <v>96</v>
      </c>
      <c r="H611" s="1" t="s">
        <v>19</v>
      </c>
      <c r="I611">
        <v>1</v>
      </c>
      <c r="J611">
        <v>140</v>
      </c>
      <c r="K611">
        <v>0</v>
      </c>
      <c r="L611">
        <v>140</v>
      </c>
      <c r="M611" s="1" t="s">
        <v>33</v>
      </c>
    </row>
    <row r="612" spans="1:13" x14ac:dyDescent="0.3">
      <c r="A612" s="1" t="s">
        <v>93</v>
      </c>
      <c r="B612" s="2">
        <v>46033</v>
      </c>
      <c r="C612" s="1" t="s">
        <v>94</v>
      </c>
      <c r="D612" s="1" t="s">
        <v>15</v>
      </c>
      <c r="E612" s="1" t="s">
        <v>16</v>
      </c>
      <c r="F612" s="1" t="s">
        <v>17</v>
      </c>
      <c r="G612" s="1" t="s">
        <v>95</v>
      </c>
      <c r="H612" s="1" t="s">
        <v>56</v>
      </c>
      <c r="I612">
        <v>5</v>
      </c>
      <c r="J612">
        <v>60</v>
      </c>
      <c r="K612">
        <v>0.1</v>
      </c>
      <c r="L612">
        <v>270</v>
      </c>
      <c r="M612" s="1" t="s">
        <v>37</v>
      </c>
    </row>
    <row r="613" spans="1:13" x14ac:dyDescent="0.3">
      <c r="A613" s="1" t="s">
        <v>93</v>
      </c>
      <c r="B613" s="2">
        <v>46040</v>
      </c>
      <c r="C613" s="1" t="s">
        <v>94</v>
      </c>
      <c r="D613" s="1" t="s">
        <v>54</v>
      </c>
      <c r="E613" s="1" t="s">
        <v>55</v>
      </c>
      <c r="F613" s="1" t="s">
        <v>23</v>
      </c>
      <c r="G613" s="1" t="s">
        <v>96</v>
      </c>
      <c r="H613" s="1" t="s">
        <v>78</v>
      </c>
      <c r="I613">
        <v>2</v>
      </c>
      <c r="J613">
        <v>75</v>
      </c>
      <c r="K613">
        <v>0</v>
      </c>
      <c r="L613">
        <v>150</v>
      </c>
      <c r="M613" s="1" t="s">
        <v>37</v>
      </c>
    </row>
    <row r="614" spans="1:13" x14ac:dyDescent="0.3">
      <c r="A614" s="1" t="s">
        <v>93</v>
      </c>
      <c r="B614" s="2">
        <v>46025</v>
      </c>
      <c r="C614" s="1" t="s">
        <v>94</v>
      </c>
      <c r="D614" s="1" t="s">
        <v>69</v>
      </c>
      <c r="E614" s="1" t="s">
        <v>70</v>
      </c>
      <c r="F614" s="1" t="s">
        <v>28</v>
      </c>
      <c r="G614" s="1" t="s">
        <v>95</v>
      </c>
      <c r="H614" s="1" t="s">
        <v>24</v>
      </c>
      <c r="I614">
        <v>2</v>
      </c>
      <c r="J614">
        <v>95</v>
      </c>
      <c r="K614">
        <v>0</v>
      </c>
      <c r="L614">
        <v>190</v>
      </c>
      <c r="M614" s="1" t="s">
        <v>33</v>
      </c>
    </row>
    <row r="615" spans="1:13" x14ac:dyDescent="0.3">
      <c r="A615" s="1" t="s">
        <v>93</v>
      </c>
      <c r="B615" s="2">
        <v>46035</v>
      </c>
      <c r="C615" s="1" t="s">
        <v>94</v>
      </c>
      <c r="D615" s="1" t="s">
        <v>49</v>
      </c>
      <c r="E615" s="1" t="s">
        <v>50</v>
      </c>
      <c r="F615" s="1" t="s">
        <v>45</v>
      </c>
      <c r="G615" s="1" t="s">
        <v>96</v>
      </c>
      <c r="H615" s="1" t="s">
        <v>60</v>
      </c>
      <c r="I615">
        <v>4</v>
      </c>
      <c r="J615">
        <v>35</v>
      </c>
      <c r="K615">
        <v>0.05</v>
      </c>
      <c r="L615">
        <v>133</v>
      </c>
      <c r="M615" s="1" t="s">
        <v>20</v>
      </c>
    </row>
    <row r="616" spans="1:13" x14ac:dyDescent="0.3">
      <c r="A616" s="1" t="s">
        <v>93</v>
      </c>
      <c r="B616" s="2">
        <v>46026</v>
      </c>
      <c r="C616" s="1" t="s">
        <v>94</v>
      </c>
      <c r="D616" s="1" t="s">
        <v>57</v>
      </c>
      <c r="E616" s="1" t="s">
        <v>58</v>
      </c>
      <c r="F616" s="1" t="s">
        <v>17</v>
      </c>
      <c r="G616" s="1" t="s">
        <v>96</v>
      </c>
      <c r="H616" s="1" t="s">
        <v>53</v>
      </c>
      <c r="I616">
        <v>1</v>
      </c>
      <c r="J616">
        <v>45</v>
      </c>
      <c r="K616">
        <v>0.05</v>
      </c>
      <c r="L616">
        <v>42.75</v>
      </c>
      <c r="M616" s="1" t="s">
        <v>25</v>
      </c>
    </row>
    <row r="617" spans="1:13" x14ac:dyDescent="0.3">
      <c r="A617" s="1" t="s">
        <v>93</v>
      </c>
      <c r="B617" s="2">
        <v>46053</v>
      </c>
      <c r="C617" s="1" t="s">
        <v>94</v>
      </c>
      <c r="D617" s="1" t="s">
        <v>34</v>
      </c>
      <c r="E617" s="1" t="s">
        <v>35</v>
      </c>
      <c r="F617" s="1" t="s">
        <v>28</v>
      </c>
      <c r="G617" s="1" t="s">
        <v>96</v>
      </c>
      <c r="H617" s="1" t="s">
        <v>80</v>
      </c>
      <c r="I617">
        <v>2</v>
      </c>
      <c r="J617">
        <v>120</v>
      </c>
      <c r="K617">
        <v>0</v>
      </c>
      <c r="L617">
        <v>240</v>
      </c>
      <c r="M617" s="1" t="s">
        <v>33</v>
      </c>
    </row>
    <row r="618" spans="1:13" x14ac:dyDescent="0.3">
      <c r="A618" s="1" t="s">
        <v>93</v>
      </c>
      <c r="B618" s="2">
        <v>46032</v>
      </c>
      <c r="C618" s="1" t="s">
        <v>94</v>
      </c>
      <c r="D618" s="1" t="s">
        <v>65</v>
      </c>
      <c r="E618" s="1" t="s">
        <v>66</v>
      </c>
      <c r="F618" s="1" t="s">
        <v>40</v>
      </c>
      <c r="G618" s="1" t="s">
        <v>95</v>
      </c>
      <c r="H618" s="1" t="s">
        <v>80</v>
      </c>
      <c r="I618">
        <v>1</v>
      </c>
      <c r="J618">
        <v>210</v>
      </c>
      <c r="K618">
        <v>0.1</v>
      </c>
      <c r="L618">
        <v>189</v>
      </c>
      <c r="M618" s="1" t="s">
        <v>33</v>
      </c>
    </row>
    <row r="619" spans="1:13" x14ac:dyDescent="0.3">
      <c r="A619" s="1" t="s">
        <v>93</v>
      </c>
      <c r="B619" s="2">
        <v>46042</v>
      </c>
      <c r="C619" s="1" t="s">
        <v>94</v>
      </c>
      <c r="D619" s="1" t="s">
        <v>65</v>
      </c>
      <c r="E619" s="1" t="s">
        <v>66</v>
      </c>
      <c r="F619" s="1" t="s">
        <v>40</v>
      </c>
      <c r="G619" s="1" t="s">
        <v>96</v>
      </c>
      <c r="H619" s="1" t="s">
        <v>76</v>
      </c>
      <c r="I619">
        <v>5</v>
      </c>
      <c r="J619">
        <v>210</v>
      </c>
      <c r="K619">
        <v>0.1</v>
      </c>
      <c r="L619">
        <v>945</v>
      </c>
      <c r="M619" s="1" t="s">
        <v>20</v>
      </c>
    </row>
    <row r="620" spans="1:13" x14ac:dyDescent="0.3">
      <c r="A620" s="1" t="s">
        <v>93</v>
      </c>
      <c r="B620" s="2">
        <v>46030</v>
      </c>
      <c r="C620" s="1" t="s">
        <v>94</v>
      </c>
      <c r="D620" s="1" t="s">
        <v>15</v>
      </c>
      <c r="E620" s="1" t="s">
        <v>16</v>
      </c>
      <c r="F620" s="1" t="s">
        <v>17</v>
      </c>
      <c r="G620" s="1" t="s">
        <v>95</v>
      </c>
      <c r="H620" s="1" t="s">
        <v>42</v>
      </c>
      <c r="I620">
        <v>3</v>
      </c>
      <c r="J620">
        <v>60</v>
      </c>
      <c r="K620">
        <v>0</v>
      </c>
      <c r="L620">
        <v>180</v>
      </c>
      <c r="M620" s="1" t="s">
        <v>25</v>
      </c>
    </row>
    <row r="621" spans="1:13" x14ac:dyDescent="0.3">
      <c r="A621" s="1" t="s">
        <v>93</v>
      </c>
      <c r="B621" s="2">
        <v>46027</v>
      </c>
      <c r="C621" s="1" t="s">
        <v>94</v>
      </c>
      <c r="D621" s="1" t="s">
        <v>57</v>
      </c>
      <c r="E621" s="1" t="s">
        <v>58</v>
      </c>
      <c r="F621" s="1" t="s">
        <v>17</v>
      </c>
      <c r="G621" s="1" t="s">
        <v>96</v>
      </c>
      <c r="H621" s="1" t="s">
        <v>83</v>
      </c>
      <c r="I621">
        <v>5</v>
      </c>
      <c r="J621">
        <v>45</v>
      </c>
      <c r="K621">
        <v>0.05</v>
      </c>
      <c r="L621">
        <v>213.75</v>
      </c>
      <c r="M621" s="1" t="s">
        <v>20</v>
      </c>
    </row>
    <row r="622" spans="1:13" x14ac:dyDescent="0.3">
      <c r="A622" s="1" t="s">
        <v>93</v>
      </c>
      <c r="B622" s="2">
        <v>46029</v>
      </c>
      <c r="C622" s="1" t="s">
        <v>94</v>
      </c>
      <c r="D622" s="1" t="s">
        <v>65</v>
      </c>
      <c r="E622" s="1" t="s">
        <v>66</v>
      </c>
      <c r="F622" s="1" t="s">
        <v>40</v>
      </c>
      <c r="G622" s="1" t="s">
        <v>95</v>
      </c>
      <c r="H622" s="1" t="s">
        <v>56</v>
      </c>
      <c r="I622">
        <v>5</v>
      </c>
      <c r="J622">
        <v>210</v>
      </c>
      <c r="K622">
        <v>0</v>
      </c>
      <c r="L622">
        <v>1050</v>
      </c>
      <c r="M622" s="1" t="s">
        <v>20</v>
      </c>
    </row>
    <row r="623" spans="1:13" x14ac:dyDescent="0.3">
      <c r="A623" s="1" t="s">
        <v>93</v>
      </c>
      <c r="B623" s="2">
        <v>46030</v>
      </c>
      <c r="C623" s="1" t="s">
        <v>94</v>
      </c>
      <c r="D623" s="1" t="s">
        <v>61</v>
      </c>
      <c r="E623" s="1" t="s">
        <v>62</v>
      </c>
      <c r="F623" s="1" t="s">
        <v>40</v>
      </c>
      <c r="G623" s="1" t="s">
        <v>95</v>
      </c>
      <c r="H623" s="1" t="s">
        <v>29</v>
      </c>
      <c r="I623">
        <v>5</v>
      </c>
      <c r="J623">
        <v>160</v>
      </c>
      <c r="K623">
        <v>0</v>
      </c>
      <c r="L623">
        <v>800</v>
      </c>
      <c r="M623" s="1" t="s">
        <v>33</v>
      </c>
    </row>
    <row r="624" spans="1:13" x14ac:dyDescent="0.3">
      <c r="A624" s="1" t="s">
        <v>93</v>
      </c>
      <c r="B624" s="2">
        <v>46043</v>
      </c>
      <c r="C624" s="1" t="s">
        <v>94</v>
      </c>
      <c r="D624" s="1" t="s">
        <v>38</v>
      </c>
      <c r="E624" s="1" t="s">
        <v>39</v>
      </c>
      <c r="F624" s="1" t="s">
        <v>40</v>
      </c>
      <c r="G624" s="1" t="s">
        <v>95</v>
      </c>
      <c r="H624" s="1" t="s">
        <v>81</v>
      </c>
      <c r="I624">
        <v>1</v>
      </c>
      <c r="J624">
        <v>55</v>
      </c>
      <c r="K624">
        <v>0</v>
      </c>
      <c r="L624">
        <v>55</v>
      </c>
      <c r="M624" s="1" t="s">
        <v>25</v>
      </c>
    </row>
    <row r="625" spans="1:13" x14ac:dyDescent="0.3">
      <c r="A625" s="1" t="s">
        <v>93</v>
      </c>
      <c r="B625" s="2">
        <v>46031</v>
      </c>
      <c r="C625" s="1" t="s">
        <v>94</v>
      </c>
      <c r="D625" s="1" t="s">
        <v>72</v>
      </c>
      <c r="E625" s="1" t="s">
        <v>73</v>
      </c>
      <c r="F625" s="1" t="s">
        <v>17</v>
      </c>
      <c r="G625" s="1" t="s">
        <v>96</v>
      </c>
      <c r="H625" s="1" t="s">
        <v>24</v>
      </c>
      <c r="I625">
        <v>1</v>
      </c>
      <c r="J625">
        <v>170</v>
      </c>
      <c r="K625">
        <v>0</v>
      </c>
      <c r="L625">
        <v>170</v>
      </c>
      <c r="M625" s="1" t="s">
        <v>37</v>
      </c>
    </row>
    <row r="626" spans="1:13" x14ac:dyDescent="0.3">
      <c r="A626" s="1" t="s">
        <v>93</v>
      </c>
      <c r="B626" s="2">
        <v>46029</v>
      </c>
      <c r="C626" s="1" t="s">
        <v>94</v>
      </c>
      <c r="D626" s="1" t="s">
        <v>26</v>
      </c>
      <c r="E626" s="1" t="s">
        <v>27</v>
      </c>
      <c r="F626" s="1" t="s">
        <v>28</v>
      </c>
      <c r="G626" s="1" t="s">
        <v>95</v>
      </c>
      <c r="H626" s="1" t="s">
        <v>78</v>
      </c>
      <c r="I626">
        <v>4</v>
      </c>
      <c r="J626">
        <v>180</v>
      </c>
      <c r="K626">
        <v>0.1</v>
      </c>
      <c r="L626">
        <v>648</v>
      </c>
      <c r="M626" s="1" t="s">
        <v>20</v>
      </c>
    </row>
    <row r="627" spans="1:13" x14ac:dyDescent="0.3">
      <c r="A627" s="1" t="s">
        <v>93</v>
      </c>
      <c r="B627" s="2">
        <v>46024</v>
      </c>
      <c r="C627" s="1" t="s">
        <v>94</v>
      </c>
      <c r="D627" s="1" t="s">
        <v>61</v>
      </c>
      <c r="E627" s="1" t="s">
        <v>62</v>
      </c>
      <c r="F627" s="1" t="s">
        <v>40</v>
      </c>
      <c r="G627" s="1" t="s">
        <v>95</v>
      </c>
      <c r="H627" s="1" t="s">
        <v>59</v>
      </c>
      <c r="I627">
        <v>4</v>
      </c>
      <c r="J627">
        <v>160</v>
      </c>
      <c r="K627">
        <v>0.1</v>
      </c>
      <c r="L627">
        <v>576</v>
      </c>
      <c r="M627" s="1" t="s">
        <v>20</v>
      </c>
    </row>
    <row r="628" spans="1:13" x14ac:dyDescent="0.3">
      <c r="A628" s="1" t="s">
        <v>93</v>
      </c>
      <c r="B628" s="2">
        <v>46029</v>
      </c>
      <c r="C628" s="1" t="s">
        <v>94</v>
      </c>
      <c r="D628" s="1" t="s">
        <v>49</v>
      </c>
      <c r="E628" s="1" t="s">
        <v>50</v>
      </c>
      <c r="F628" s="1" t="s">
        <v>45</v>
      </c>
      <c r="G628" s="1" t="s">
        <v>96</v>
      </c>
      <c r="H628" s="1" t="s">
        <v>83</v>
      </c>
      <c r="I628">
        <v>1</v>
      </c>
      <c r="J628">
        <v>35</v>
      </c>
      <c r="K628">
        <v>0</v>
      </c>
      <c r="L628">
        <v>35</v>
      </c>
      <c r="M628" s="1" t="s">
        <v>20</v>
      </c>
    </row>
    <row r="629" spans="1:13" x14ac:dyDescent="0.3">
      <c r="A629" s="1" t="s">
        <v>93</v>
      </c>
      <c r="B629" s="2">
        <v>46050</v>
      </c>
      <c r="C629" s="1" t="s">
        <v>94</v>
      </c>
      <c r="D629" s="1" t="s">
        <v>61</v>
      </c>
      <c r="E629" s="1" t="s">
        <v>62</v>
      </c>
      <c r="F629" s="1" t="s">
        <v>40</v>
      </c>
      <c r="G629" s="1" t="s">
        <v>95</v>
      </c>
      <c r="H629" s="1" t="s">
        <v>52</v>
      </c>
      <c r="I629">
        <v>1</v>
      </c>
      <c r="J629">
        <v>160</v>
      </c>
      <c r="K629">
        <v>0</v>
      </c>
      <c r="L629">
        <v>160</v>
      </c>
      <c r="M629" s="1" t="s">
        <v>25</v>
      </c>
    </row>
    <row r="630" spans="1:13" x14ac:dyDescent="0.3">
      <c r="A630" s="1" t="s">
        <v>93</v>
      </c>
      <c r="B630" s="2">
        <v>46038</v>
      </c>
      <c r="C630" s="1" t="s">
        <v>94</v>
      </c>
      <c r="D630" s="1" t="s">
        <v>57</v>
      </c>
      <c r="E630" s="1" t="s">
        <v>58</v>
      </c>
      <c r="F630" s="1" t="s">
        <v>17</v>
      </c>
      <c r="G630" s="1" t="s">
        <v>96</v>
      </c>
      <c r="H630" s="1" t="s">
        <v>56</v>
      </c>
      <c r="I630">
        <v>2</v>
      </c>
      <c r="J630">
        <v>45</v>
      </c>
      <c r="K630">
        <v>0</v>
      </c>
      <c r="L630">
        <v>90</v>
      </c>
      <c r="M630" s="1" t="s">
        <v>25</v>
      </c>
    </row>
    <row r="631" spans="1:13" x14ac:dyDescent="0.3">
      <c r="A631" s="1" t="s">
        <v>93</v>
      </c>
      <c r="B631" s="2">
        <v>46031</v>
      </c>
      <c r="C631" s="1" t="s">
        <v>94</v>
      </c>
      <c r="D631" s="1" t="s">
        <v>21</v>
      </c>
      <c r="E631" s="1" t="s">
        <v>22</v>
      </c>
      <c r="F631" s="1" t="s">
        <v>23</v>
      </c>
      <c r="G631" s="1" t="s">
        <v>96</v>
      </c>
      <c r="H631" s="1" t="s">
        <v>67</v>
      </c>
      <c r="I631">
        <v>1</v>
      </c>
      <c r="J631">
        <v>220</v>
      </c>
      <c r="K631">
        <v>0.15</v>
      </c>
      <c r="L631">
        <v>187</v>
      </c>
      <c r="M631" s="1" t="s">
        <v>37</v>
      </c>
    </row>
    <row r="632" spans="1:13" x14ac:dyDescent="0.3">
      <c r="A632" s="1" t="s">
        <v>93</v>
      </c>
      <c r="B632" s="2">
        <v>46024</v>
      </c>
      <c r="C632" s="1" t="s">
        <v>94</v>
      </c>
      <c r="D632" s="1" t="s">
        <v>54</v>
      </c>
      <c r="E632" s="1" t="s">
        <v>55</v>
      </c>
      <c r="F632" s="1" t="s">
        <v>23</v>
      </c>
      <c r="G632" s="1" t="s">
        <v>95</v>
      </c>
      <c r="H632" s="1" t="s">
        <v>82</v>
      </c>
      <c r="I632">
        <v>3</v>
      </c>
      <c r="J632">
        <v>75</v>
      </c>
      <c r="K632">
        <v>0</v>
      </c>
      <c r="L632">
        <v>225</v>
      </c>
      <c r="M632" s="1" t="s">
        <v>25</v>
      </c>
    </row>
    <row r="633" spans="1:13" x14ac:dyDescent="0.3">
      <c r="A633" s="1" t="s">
        <v>93</v>
      </c>
      <c r="B633" s="2">
        <v>46039</v>
      </c>
      <c r="C633" s="1" t="s">
        <v>94</v>
      </c>
      <c r="D633" s="1" t="s">
        <v>38</v>
      </c>
      <c r="E633" s="1" t="s">
        <v>39</v>
      </c>
      <c r="F633" s="1" t="s">
        <v>40</v>
      </c>
      <c r="G633" s="1" t="s">
        <v>95</v>
      </c>
      <c r="H633" s="1" t="s">
        <v>71</v>
      </c>
      <c r="I633">
        <v>5</v>
      </c>
      <c r="J633">
        <v>55</v>
      </c>
      <c r="K633">
        <v>0.1</v>
      </c>
      <c r="L633">
        <v>247.5</v>
      </c>
      <c r="M633" s="1" t="s">
        <v>25</v>
      </c>
    </row>
    <row r="634" spans="1:13" x14ac:dyDescent="0.3">
      <c r="A634" s="1" t="s">
        <v>93</v>
      </c>
      <c r="B634" s="2">
        <v>46044</v>
      </c>
      <c r="C634" s="1" t="s">
        <v>94</v>
      </c>
      <c r="D634" s="1" t="s">
        <v>72</v>
      </c>
      <c r="E634" s="1" t="s">
        <v>73</v>
      </c>
      <c r="F634" s="1" t="s">
        <v>17</v>
      </c>
      <c r="G634" s="1" t="s">
        <v>95</v>
      </c>
      <c r="H634" s="1" t="s">
        <v>81</v>
      </c>
      <c r="I634">
        <v>1</v>
      </c>
      <c r="J634">
        <v>170</v>
      </c>
      <c r="K634">
        <v>0.05</v>
      </c>
      <c r="L634">
        <v>161.5</v>
      </c>
      <c r="M634" s="1" t="s">
        <v>33</v>
      </c>
    </row>
    <row r="635" spans="1:13" x14ac:dyDescent="0.3">
      <c r="A635" s="1" t="s">
        <v>93</v>
      </c>
      <c r="B635" s="2">
        <v>46036</v>
      </c>
      <c r="C635" s="1" t="s">
        <v>94</v>
      </c>
      <c r="D635" s="1" t="s">
        <v>38</v>
      </c>
      <c r="E635" s="1" t="s">
        <v>39</v>
      </c>
      <c r="F635" s="1" t="s">
        <v>40</v>
      </c>
      <c r="G635" s="1" t="s">
        <v>96</v>
      </c>
      <c r="H635" s="1" t="s">
        <v>51</v>
      </c>
      <c r="I635">
        <v>1</v>
      </c>
      <c r="J635">
        <v>55</v>
      </c>
      <c r="K635">
        <v>0.05</v>
      </c>
      <c r="L635">
        <v>52.25</v>
      </c>
      <c r="M635" s="1" t="s">
        <v>20</v>
      </c>
    </row>
    <row r="636" spans="1:13" x14ac:dyDescent="0.3">
      <c r="A636" s="1" t="s">
        <v>93</v>
      </c>
      <c r="B636" s="2">
        <v>46043</v>
      </c>
      <c r="C636" s="1" t="s">
        <v>94</v>
      </c>
      <c r="D636" s="1" t="s">
        <v>26</v>
      </c>
      <c r="E636" s="1" t="s">
        <v>27</v>
      </c>
      <c r="F636" s="1" t="s">
        <v>28</v>
      </c>
      <c r="G636" s="1" t="s">
        <v>96</v>
      </c>
      <c r="H636" s="1" t="s">
        <v>68</v>
      </c>
      <c r="I636">
        <v>4</v>
      </c>
      <c r="J636">
        <v>180</v>
      </c>
      <c r="K636">
        <v>0</v>
      </c>
      <c r="L636">
        <v>720</v>
      </c>
      <c r="M636" s="1" t="s">
        <v>25</v>
      </c>
    </row>
    <row r="637" spans="1:13" x14ac:dyDescent="0.3">
      <c r="A637" s="1" t="s">
        <v>93</v>
      </c>
      <c r="B637" s="2">
        <v>46026</v>
      </c>
      <c r="C637" s="1" t="s">
        <v>94</v>
      </c>
      <c r="D637" s="1" t="s">
        <v>30</v>
      </c>
      <c r="E637" s="1" t="s">
        <v>31</v>
      </c>
      <c r="F637" s="1" t="s">
        <v>23</v>
      </c>
      <c r="G637" s="1" t="s">
        <v>95</v>
      </c>
      <c r="H637" s="1" t="s">
        <v>71</v>
      </c>
      <c r="I637">
        <v>5</v>
      </c>
      <c r="J637">
        <v>2800</v>
      </c>
      <c r="K637">
        <v>0.15</v>
      </c>
      <c r="L637">
        <v>11900</v>
      </c>
      <c r="M637" s="1" t="s">
        <v>20</v>
      </c>
    </row>
    <row r="638" spans="1:13" x14ac:dyDescent="0.3">
      <c r="A638" s="1" t="s">
        <v>93</v>
      </c>
      <c r="B638" s="2">
        <v>46051</v>
      </c>
      <c r="C638" s="1" t="s">
        <v>94</v>
      </c>
      <c r="D638" s="1" t="s">
        <v>54</v>
      </c>
      <c r="E638" s="1" t="s">
        <v>55</v>
      </c>
      <c r="F638" s="1" t="s">
        <v>23</v>
      </c>
      <c r="G638" s="1" t="s">
        <v>95</v>
      </c>
      <c r="H638" s="1" t="s">
        <v>83</v>
      </c>
      <c r="I638">
        <v>3</v>
      </c>
      <c r="J638">
        <v>75</v>
      </c>
      <c r="K638">
        <v>0.1</v>
      </c>
      <c r="L638">
        <v>202.5</v>
      </c>
      <c r="M638" s="1" t="s">
        <v>37</v>
      </c>
    </row>
    <row r="639" spans="1:13" x14ac:dyDescent="0.3">
      <c r="A639" s="1" t="s">
        <v>93</v>
      </c>
      <c r="B639" s="2">
        <v>46048</v>
      </c>
      <c r="C639" s="1" t="s">
        <v>94</v>
      </c>
      <c r="D639" s="1" t="s">
        <v>72</v>
      </c>
      <c r="E639" s="1" t="s">
        <v>73</v>
      </c>
      <c r="F639" s="1" t="s">
        <v>17</v>
      </c>
      <c r="G639" s="1" t="s">
        <v>95</v>
      </c>
      <c r="H639" s="1" t="s">
        <v>52</v>
      </c>
      <c r="I639">
        <v>3</v>
      </c>
      <c r="J639">
        <v>170</v>
      </c>
      <c r="K639">
        <v>0.05</v>
      </c>
      <c r="L639">
        <v>484.5</v>
      </c>
      <c r="M639" s="1" t="s">
        <v>20</v>
      </c>
    </row>
    <row r="640" spans="1:13" x14ac:dyDescent="0.3">
      <c r="A640" s="1" t="s">
        <v>93</v>
      </c>
      <c r="B640" s="2">
        <v>46027</v>
      </c>
      <c r="C640" s="1" t="s">
        <v>94</v>
      </c>
      <c r="D640" s="1" t="s">
        <v>15</v>
      </c>
      <c r="E640" s="1" t="s">
        <v>16</v>
      </c>
      <c r="F640" s="1" t="s">
        <v>17</v>
      </c>
      <c r="G640" s="1" t="s">
        <v>96</v>
      </c>
      <c r="H640" s="1" t="s">
        <v>76</v>
      </c>
      <c r="I640">
        <v>1</v>
      </c>
      <c r="J640">
        <v>60</v>
      </c>
      <c r="K640">
        <v>0.1</v>
      </c>
      <c r="L640">
        <v>54</v>
      </c>
      <c r="M640" s="1" t="s">
        <v>33</v>
      </c>
    </row>
    <row r="641" spans="1:13" x14ac:dyDescent="0.3">
      <c r="A641" s="1" t="s">
        <v>93</v>
      </c>
      <c r="B641" s="2">
        <v>46033</v>
      </c>
      <c r="C641" s="1" t="s">
        <v>94</v>
      </c>
      <c r="D641" s="1" t="s">
        <v>26</v>
      </c>
      <c r="E641" s="1" t="s">
        <v>27</v>
      </c>
      <c r="F641" s="1" t="s">
        <v>28</v>
      </c>
      <c r="G641" s="1" t="s">
        <v>95</v>
      </c>
      <c r="H641" s="1" t="s">
        <v>84</v>
      </c>
      <c r="I641">
        <v>5</v>
      </c>
      <c r="J641">
        <v>180</v>
      </c>
      <c r="K641">
        <v>0</v>
      </c>
      <c r="L641">
        <v>900</v>
      </c>
      <c r="M641" s="1" t="s">
        <v>20</v>
      </c>
    </row>
    <row r="642" spans="1:13" x14ac:dyDescent="0.3">
      <c r="A642" s="1" t="s">
        <v>93</v>
      </c>
      <c r="B642" s="2">
        <v>46050</v>
      </c>
      <c r="C642" s="1" t="s">
        <v>94</v>
      </c>
      <c r="D642" s="1" t="s">
        <v>65</v>
      </c>
      <c r="E642" s="1" t="s">
        <v>66</v>
      </c>
      <c r="F642" s="1" t="s">
        <v>40</v>
      </c>
      <c r="G642" s="1" t="s">
        <v>95</v>
      </c>
      <c r="H642" s="1" t="s">
        <v>78</v>
      </c>
      <c r="I642">
        <v>3</v>
      </c>
      <c r="J642">
        <v>210</v>
      </c>
      <c r="K642">
        <v>0.1</v>
      </c>
      <c r="L642">
        <v>567</v>
      </c>
      <c r="M642" s="1" t="s">
        <v>20</v>
      </c>
    </row>
    <row r="643" spans="1:13" x14ac:dyDescent="0.3">
      <c r="A643" s="1" t="s">
        <v>93</v>
      </c>
      <c r="B643" s="2">
        <v>46043</v>
      </c>
      <c r="C643" s="1" t="s">
        <v>94</v>
      </c>
      <c r="D643" s="1" t="s">
        <v>30</v>
      </c>
      <c r="E643" s="1" t="s">
        <v>31</v>
      </c>
      <c r="F643" s="1" t="s">
        <v>23</v>
      </c>
      <c r="G643" s="1" t="s">
        <v>96</v>
      </c>
      <c r="H643" s="1" t="s">
        <v>60</v>
      </c>
      <c r="I643">
        <v>3</v>
      </c>
      <c r="J643">
        <v>2800</v>
      </c>
      <c r="K643">
        <v>0.05</v>
      </c>
      <c r="L643">
        <v>7980</v>
      </c>
      <c r="M643" s="1" t="s">
        <v>37</v>
      </c>
    </row>
    <row r="644" spans="1:13" x14ac:dyDescent="0.3">
      <c r="A644" s="1" t="s">
        <v>93</v>
      </c>
      <c r="B644" s="2">
        <v>46051</v>
      </c>
      <c r="C644" s="1" t="s">
        <v>94</v>
      </c>
      <c r="D644" s="1" t="s">
        <v>38</v>
      </c>
      <c r="E644" s="1" t="s">
        <v>39</v>
      </c>
      <c r="F644" s="1" t="s">
        <v>40</v>
      </c>
      <c r="G644" s="1" t="s">
        <v>95</v>
      </c>
      <c r="H644" s="1" t="s">
        <v>36</v>
      </c>
      <c r="I644">
        <v>1</v>
      </c>
      <c r="J644">
        <v>55</v>
      </c>
      <c r="K644">
        <v>0</v>
      </c>
      <c r="L644">
        <v>55</v>
      </c>
      <c r="M644" s="1" t="s">
        <v>20</v>
      </c>
    </row>
    <row r="645" spans="1:13" x14ac:dyDescent="0.3">
      <c r="A645" s="1" t="s">
        <v>93</v>
      </c>
      <c r="B645" s="2">
        <v>46024</v>
      </c>
      <c r="C645" s="1" t="s">
        <v>94</v>
      </c>
      <c r="D645" s="1" t="s">
        <v>38</v>
      </c>
      <c r="E645" s="1" t="s">
        <v>39</v>
      </c>
      <c r="F645" s="1" t="s">
        <v>40</v>
      </c>
      <c r="G645" s="1" t="s">
        <v>96</v>
      </c>
      <c r="H645" s="1" t="s">
        <v>68</v>
      </c>
      <c r="I645">
        <v>2</v>
      </c>
      <c r="J645">
        <v>55</v>
      </c>
      <c r="K645">
        <v>0</v>
      </c>
      <c r="L645">
        <v>110</v>
      </c>
      <c r="M645" s="1" t="s">
        <v>25</v>
      </c>
    </row>
    <row r="646" spans="1:13" x14ac:dyDescent="0.3">
      <c r="A646" s="1" t="s">
        <v>93</v>
      </c>
      <c r="B646" s="2">
        <v>46044</v>
      </c>
      <c r="C646" s="1" t="s">
        <v>94</v>
      </c>
      <c r="D646" s="1" t="s">
        <v>15</v>
      </c>
      <c r="E646" s="1" t="s">
        <v>16</v>
      </c>
      <c r="F646" s="1" t="s">
        <v>17</v>
      </c>
      <c r="G646" s="1" t="s">
        <v>95</v>
      </c>
      <c r="H646" s="1" t="s">
        <v>52</v>
      </c>
      <c r="I646">
        <v>2</v>
      </c>
      <c r="J646">
        <v>60</v>
      </c>
      <c r="K646">
        <v>0.05</v>
      </c>
      <c r="L646">
        <v>114</v>
      </c>
      <c r="M646" s="1" t="s">
        <v>37</v>
      </c>
    </row>
    <row r="647" spans="1:13" x14ac:dyDescent="0.3">
      <c r="A647" s="1" t="s">
        <v>93</v>
      </c>
      <c r="B647" s="2">
        <v>46030</v>
      </c>
      <c r="C647" s="1" t="s">
        <v>94</v>
      </c>
      <c r="D647" s="1" t="s">
        <v>57</v>
      </c>
      <c r="E647" s="1" t="s">
        <v>58</v>
      </c>
      <c r="F647" s="1" t="s">
        <v>17</v>
      </c>
      <c r="G647" s="1" t="s">
        <v>95</v>
      </c>
      <c r="H647" s="1" t="s">
        <v>63</v>
      </c>
      <c r="I647">
        <v>2</v>
      </c>
      <c r="J647">
        <v>45</v>
      </c>
      <c r="K647">
        <v>0.1</v>
      </c>
      <c r="L647">
        <v>81</v>
      </c>
      <c r="M647" s="1" t="s">
        <v>33</v>
      </c>
    </row>
    <row r="648" spans="1:13" x14ac:dyDescent="0.3">
      <c r="A648" s="1" t="s">
        <v>93</v>
      </c>
      <c r="B648" s="2">
        <v>46052</v>
      </c>
      <c r="C648" s="1" t="s">
        <v>94</v>
      </c>
      <c r="D648" s="1" t="s">
        <v>15</v>
      </c>
      <c r="E648" s="1" t="s">
        <v>16</v>
      </c>
      <c r="F648" s="1" t="s">
        <v>17</v>
      </c>
      <c r="G648" s="1" t="s">
        <v>96</v>
      </c>
      <c r="H648" s="1" t="s">
        <v>78</v>
      </c>
      <c r="I648">
        <v>1</v>
      </c>
      <c r="J648">
        <v>60</v>
      </c>
      <c r="K648">
        <v>0</v>
      </c>
      <c r="L648">
        <v>60</v>
      </c>
      <c r="M648" s="1" t="s">
        <v>33</v>
      </c>
    </row>
    <row r="649" spans="1:13" x14ac:dyDescent="0.3">
      <c r="A649" s="1" t="s">
        <v>93</v>
      </c>
      <c r="B649" s="2">
        <v>46024</v>
      </c>
      <c r="C649" s="1" t="s">
        <v>94</v>
      </c>
      <c r="D649" s="1" t="s">
        <v>26</v>
      </c>
      <c r="E649" s="1" t="s">
        <v>27</v>
      </c>
      <c r="F649" s="1" t="s">
        <v>28</v>
      </c>
      <c r="G649" s="1" t="s">
        <v>96</v>
      </c>
      <c r="H649" s="1" t="s">
        <v>36</v>
      </c>
      <c r="I649">
        <v>1</v>
      </c>
      <c r="J649">
        <v>180</v>
      </c>
      <c r="K649">
        <v>0</v>
      </c>
      <c r="L649">
        <v>180</v>
      </c>
      <c r="M649" s="1" t="s">
        <v>37</v>
      </c>
    </row>
    <row r="650" spans="1:13" x14ac:dyDescent="0.3">
      <c r="A650" s="1" t="s">
        <v>93</v>
      </c>
      <c r="B650" s="2">
        <v>46044</v>
      </c>
      <c r="C650" s="1" t="s">
        <v>94</v>
      </c>
      <c r="D650" s="1" t="s">
        <v>69</v>
      </c>
      <c r="E650" s="1" t="s">
        <v>70</v>
      </c>
      <c r="F650" s="1" t="s">
        <v>28</v>
      </c>
      <c r="G650" s="1" t="s">
        <v>95</v>
      </c>
      <c r="H650" s="1" t="s">
        <v>85</v>
      </c>
      <c r="I650">
        <v>2</v>
      </c>
      <c r="J650">
        <v>95</v>
      </c>
      <c r="K650">
        <v>0</v>
      </c>
      <c r="L650">
        <v>190</v>
      </c>
      <c r="M650" s="1" t="s">
        <v>25</v>
      </c>
    </row>
    <row r="651" spans="1:13" x14ac:dyDescent="0.3">
      <c r="A651" s="1" t="s">
        <v>93</v>
      </c>
      <c r="B651" s="2">
        <v>46039</v>
      </c>
      <c r="C651" s="1" t="s">
        <v>94</v>
      </c>
      <c r="D651" s="1" t="s">
        <v>57</v>
      </c>
      <c r="E651" s="1" t="s">
        <v>58</v>
      </c>
      <c r="F651" s="1" t="s">
        <v>17</v>
      </c>
      <c r="G651" s="1" t="s">
        <v>96</v>
      </c>
      <c r="H651" s="1" t="s">
        <v>36</v>
      </c>
      <c r="I651">
        <v>3</v>
      </c>
      <c r="J651">
        <v>45</v>
      </c>
      <c r="K651">
        <v>0</v>
      </c>
      <c r="L651">
        <v>135</v>
      </c>
      <c r="M651" s="1" t="s">
        <v>20</v>
      </c>
    </row>
    <row r="652" spans="1:13" x14ac:dyDescent="0.3">
      <c r="A652" s="1" t="s">
        <v>93</v>
      </c>
      <c r="B652" s="2">
        <v>46031</v>
      </c>
      <c r="C652" s="1" t="s">
        <v>94</v>
      </c>
      <c r="D652" s="1" t="s">
        <v>57</v>
      </c>
      <c r="E652" s="1" t="s">
        <v>58</v>
      </c>
      <c r="F652" s="1" t="s">
        <v>17</v>
      </c>
      <c r="G652" s="1" t="s">
        <v>95</v>
      </c>
      <c r="H652" s="1" t="s">
        <v>85</v>
      </c>
      <c r="I652">
        <v>1</v>
      </c>
      <c r="J652">
        <v>45</v>
      </c>
      <c r="K652">
        <v>0.1</v>
      </c>
      <c r="L652">
        <v>40.5</v>
      </c>
      <c r="M652" s="1" t="s">
        <v>25</v>
      </c>
    </row>
    <row r="653" spans="1:13" x14ac:dyDescent="0.3">
      <c r="A653" s="1" t="s">
        <v>93</v>
      </c>
      <c r="B653" s="2">
        <v>46048</v>
      </c>
      <c r="C653" s="1" t="s">
        <v>94</v>
      </c>
      <c r="D653" s="1" t="s">
        <v>54</v>
      </c>
      <c r="E653" s="1" t="s">
        <v>55</v>
      </c>
      <c r="F653" s="1" t="s">
        <v>23</v>
      </c>
      <c r="G653" s="1" t="s">
        <v>96</v>
      </c>
      <c r="H653" s="1" t="s">
        <v>71</v>
      </c>
      <c r="I653">
        <v>4</v>
      </c>
      <c r="J653">
        <v>75</v>
      </c>
      <c r="K653">
        <v>0</v>
      </c>
      <c r="L653">
        <v>300</v>
      </c>
      <c r="M653" s="1" t="s">
        <v>25</v>
      </c>
    </row>
    <row r="654" spans="1:13" x14ac:dyDescent="0.3">
      <c r="A654" s="1" t="s">
        <v>93</v>
      </c>
      <c r="B654" s="2">
        <v>46024</v>
      </c>
      <c r="C654" s="1" t="s">
        <v>94</v>
      </c>
      <c r="D654" s="1" t="s">
        <v>69</v>
      </c>
      <c r="E654" s="1" t="s">
        <v>70</v>
      </c>
      <c r="F654" s="1" t="s">
        <v>28</v>
      </c>
      <c r="G654" s="1" t="s">
        <v>96</v>
      </c>
      <c r="H654" s="1" t="s">
        <v>87</v>
      </c>
      <c r="I654">
        <v>5</v>
      </c>
      <c r="J654">
        <v>95</v>
      </c>
      <c r="K654">
        <v>0</v>
      </c>
      <c r="L654">
        <v>475</v>
      </c>
      <c r="M654" s="1" t="s">
        <v>33</v>
      </c>
    </row>
    <row r="655" spans="1:13" x14ac:dyDescent="0.3">
      <c r="A655" s="1" t="s">
        <v>93</v>
      </c>
      <c r="B655" s="2">
        <v>46052</v>
      </c>
      <c r="C655" s="1" t="s">
        <v>94</v>
      </c>
      <c r="D655" s="1" t="s">
        <v>69</v>
      </c>
      <c r="E655" s="1" t="s">
        <v>70</v>
      </c>
      <c r="F655" s="1" t="s">
        <v>28</v>
      </c>
      <c r="G655" s="1" t="s">
        <v>96</v>
      </c>
      <c r="H655" s="1" t="s">
        <v>79</v>
      </c>
      <c r="I655">
        <v>1</v>
      </c>
      <c r="J655">
        <v>95</v>
      </c>
      <c r="K655">
        <v>0.1</v>
      </c>
      <c r="L655">
        <v>85.5</v>
      </c>
      <c r="M655" s="1" t="s">
        <v>25</v>
      </c>
    </row>
    <row r="656" spans="1:13" x14ac:dyDescent="0.3">
      <c r="A656" s="1" t="s">
        <v>93</v>
      </c>
      <c r="B656" s="2">
        <v>46044</v>
      </c>
      <c r="C656" s="1" t="s">
        <v>94</v>
      </c>
      <c r="D656" s="1" t="s">
        <v>47</v>
      </c>
      <c r="E656" s="1" t="s">
        <v>48</v>
      </c>
      <c r="F656" s="1" t="s">
        <v>45</v>
      </c>
      <c r="G656" s="1" t="s">
        <v>96</v>
      </c>
      <c r="H656" s="1" t="s">
        <v>67</v>
      </c>
      <c r="I656">
        <v>3</v>
      </c>
      <c r="J656">
        <v>85</v>
      </c>
      <c r="K656">
        <v>0</v>
      </c>
      <c r="L656">
        <v>255</v>
      </c>
      <c r="M656" s="1" t="s">
        <v>20</v>
      </c>
    </row>
    <row r="657" spans="1:13" x14ac:dyDescent="0.3">
      <c r="A657" s="1" t="s">
        <v>93</v>
      </c>
      <c r="B657" s="2">
        <v>46053</v>
      </c>
      <c r="C657" s="1" t="s">
        <v>94</v>
      </c>
      <c r="D657" s="1" t="s">
        <v>65</v>
      </c>
      <c r="E657" s="1" t="s">
        <v>66</v>
      </c>
      <c r="F657" s="1" t="s">
        <v>40</v>
      </c>
      <c r="G657" s="1" t="s">
        <v>96</v>
      </c>
      <c r="H657" s="1" t="s">
        <v>81</v>
      </c>
      <c r="I657">
        <v>2</v>
      </c>
      <c r="J657">
        <v>210</v>
      </c>
      <c r="K657">
        <v>0</v>
      </c>
      <c r="L657">
        <v>420</v>
      </c>
      <c r="M657" s="1" t="s">
        <v>33</v>
      </c>
    </row>
    <row r="658" spans="1:13" x14ac:dyDescent="0.3">
      <c r="A658" s="1" t="s">
        <v>93</v>
      </c>
      <c r="B658" s="2">
        <v>46049</v>
      </c>
      <c r="C658" s="1" t="s">
        <v>94</v>
      </c>
      <c r="D658" s="1" t="s">
        <v>38</v>
      </c>
      <c r="E658" s="1" t="s">
        <v>39</v>
      </c>
      <c r="F658" s="1" t="s">
        <v>40</v>
      </c>
      <c r="G658" s="1" t="s">
        <v>95</v>
      </c>
      <c r="H658" s="1" t="s">
        <v>51</v>
      </c>
      <c r="I658">
        <v>3</v>
      </c>
      <c r="J658">
        <v>55</v>
      </c>
      <c r="K658">
        <v>0</v>
      </c>
      <c r="L658">
        <v>165</v>
      </c>
      <c r="M658" s="1" t="s">
        <v>37</v>
      </c>
    </row>
    <row r="659" spans="1:13" x14ac:dyDescent="0.3">
      <c r="A659" s="1" t="s">
        <v>93</v>
      </c>
      <c r="B659" s="2">
        <v>46037</v>
      </c>
      <c r="C659" s="1" t="s">
        <v>94</v>
      </c>
      <c r="D659" s="1" t="s">
        <v>49</v>
      </c>
      <c r="E659" s="1" t="s">
        <v>50</v>
      </c>
      <c r="F659" s="1" t="s">
        <v>45</v>
      </c>
      <c r="G659" s="1" t="s">
        <v>96</v>
      </c>
      <c r="H659" s="1" t="s">
        <v>51</v>
      </c>
      <c r="I659">
        <v>5</v>
      </c>
      <c r="J659">
        <v>35</v>
      </c>
      <c r="K659">
        <v>0.05</v>
      </c>
      <c r="L659">
        <v>166.25</v>
      </c>
      <c r="M659" s="1" t="s">
        <v>37</v>
      </c>
    </row>
    <row r="660" spans="1:13" x14ac:dyDescent="0.3">
      <c r="A660" s="1" t="s">
        <v>93</v>
      </c>
      <c r="B660" s="2">
        <v>46032</v>
      </c>
      <c r="C660" s="1" t="s">
        <v>94</v>
      </c>
      <c r="D660" s="1" t="s">
        <v>49</v>
      </c>
      <c r="E660" s="1" t="s">
        <v>50</v>
      </c>
      <c r="F660" s="1" t="s">
        <v>45</v>
      </c>
      <c r="G660" s="1" t="s">
        <v>96</v>
      </c>
      <c r="H660" s="1" t="s">
        <v>80</v>
      </c>
      <c r="I660">
        <v>2</v>
      </c>
      <c r="J660">
        <v>35</v>
      </c>
      <c r="K660">
        <v>0.05</v>
      </c>
      <c r="L660">
        <v>66.5</v>
      </c>
      <c r="M660" s="1" t="s">
        <v>33</v>
      </c>
    </row>
    <row r="661" spans="1:13" x14ac:dyDescent="0.3">
      <c r="A661" s="1" t="s">
        <v>93</v>
      </c>
      <c r="B661" s="2">
        <v>46027</v>
      </c>
      <c r="C661" s="1" t="s">
        <v>94</v>
      </c>
      <c r="D661" s="1" t="s">
        <v>43</v>
      </c>
      <c r="E661" s="1" t="s">
        <v>44</v>
      </c>
      <c r="F661" s="1" t="s">
        <v>45</v>
      </c>
      <c r="G661" s="1" t="s">
        <v>95</v>
      </c>
      <c r="H661" s="1" t="s">
        <v>42</v>
      </c>
      <c r="I661">
        <v>2</v>
      </c>
      <c r="J661">
        <v>140</v>
      </c>
      <c r="K661">
        <v>0.1</v>
      </c>
      <c r="L661">
        <v>252</v>
      </c>
      <c r="M661" s="1" t="s">
        <v>25</v>
      </c>
    </row>
    <row r="662" spans="1:13" x14ac:dyDescent="0.3">
      <c r="A662" s="1" t="s">
        <v>93</v>
      </c>
      <c r="B662" s="2">
        <v>46045</v>
      </c>
      <c r="C662" s="1" t="s">
        <v>94</v>
      </c>
      <c r="D662" s="1" t="s">
        <v>61</v>
      </c>
      <c r="E662" s="1" t="s">
        <v>62</v>
      </c>
      <c r="F662" s="1" t="s">
        <v>40</v>
      </c>
      <c r="G662" s="1" t="s">
        <v>96</v>
      </c>
      <c r="H662" s="1" t="s">
        <v>77</v>
      </c>
      <c r="I662">
        <v>5</v>
      </c>
      <c r="J662">
        <v>160</v>
      </c>
      <c r="K662">
        <v>0</v>
      </c>
      <c r="L662">
        <v>800</v>
      </c>
      <c r="M662" s="1" t="s">
        <v>33</v>
      </c>
    </row>
    <row r="663" spans="1:13" x14ac:dyDescent="0.3">
      <c r="A663" s="1" t="s">
        <v>93</v>
      </c>
      <c r="B663" s="2">
        <v>46050</v>
      </c>
      <c r="C663" s="1" t="s">
        <v>94</v>
      </c>
      <c r="D663" s="1" t="s">
        <v>43</v>
      </c>
      <c r="E663" s="1" t="s">
        <v>44</v>
      </c>
      <c r="F663" s="1" t="s">
        <v>45</v>
      </c>
      <c r="G663" s="1" t="s">
        <v>95</v>
      </c>
      <c r="H663" s="1" t="s">
        <v>77</v>
      </c>
      <c r="I663">
        <v>1</v>
      </c>
      <c r="J663">
        <v>140</v>
      </c>
      <c r="K663">
        <v>0.1</v>
      </c>
      <c r="L663">
        <v>126</v>
      </c>
      <c r="M663" s="1" t="s">
        <v>33</v>
      </c>
    </row>
    <row r="664" spans="1:13" x14ac:dyDescent="0.3">
      <c r="A664" s="1" t="s">
        <v>93</v>
      </c>
      <c r="B664" s="2">
        <v>46040</v>
      </c>
      <c r="C664" s="1" t="s">
        <v>94</v>
      </c>
      <c r="D664" s="1" t="s">
        <v>49</v>
      </c>
      <c r="E664" s="1" t="s">
        <v>50</v>
      </c>
      <c r="F664" s="1" t="s">
        <v>45</v>
      </c>
      <c r="G664" s="1" t="s">
        <v>95</v>
      </c>
      <c r="H664" s="1" t="s">
        <v>76</v>
      </c>
      <c r="I664">
        <v>5</v>
      </c>
      <c r="J664">
        <v>35</v>
      </c>
      <c r="K664">
        <v>0</v>
      </c>
      <c r="L664">
        <v>175</v>
      </c>
      <c r="M664" s="1" t="s">
        <v>37</v>
      </c>
    </row>
    <row r="665" spans="1:13" x14ac:dyDescent="0.3">
      <c r="A665" s="1" t="s">
        <v>93</v>
      </c>
      <c r="B665" s="2">
        <v>46040</v>
      </c>
      <c r="C665" s="1" t="s">
        <v>94</v>
      </c>
      <c r="D665" s="1" t="s">
        <v>54</v>
      </c>
      <c r="E665" s="1" t="s">
        <v>55</v>
      </c>
      <c r="F665" s="1" t="s">
        <v>23</v>
      </c>
      <c r="G665" s="1" t="s">
        <v>96</v>
      </c>
      <c r="H665" s="1" t="s">
        <v>81</v>
      </c>
      <c r="I665">
        <v>4</v>
      </c>
      <c r="J665">
        <v>75</v>
      </c>
      <c r="K665">
        <v>0.05</v>
      </c>
      <c r="L665">
        <v>285</v>
      </c>
      <c r="M665" s="1" t="s">
        <v>37</v>
      </c>
    </row>
    <row r="666" spans="1:13" x14ac:dyDescent="0.3">
      <c r="A666" s="1" t="s">
        <v>93</v>
      </c>
      <c r="B666" s="2">
        <v>46052</v>
      </c>
      <c r="C666" s="1" t="s">
        <v>94</v>
      </c>
      <c r="D666" s="1" t="s">
        <v>38</v>
      </c>
      <c r="E666" s="1" t="s">
        <v>39</v>
      </c>
      <c r="F666" s="1" t="s">
        <v>40</v>
      </c>
      <c r="G666" s="1" t="s">
        <v>96</v>
      </c>
      <c r="H666" s="1" t="s">
        <v>59</v>
      </c>
      <c r="I666">
        <v>5</v>
      </c>
      <c r="J666">
        <v>55</v>
      </c>
      <c r="K666">
        <v>0</v>
      </c>
      <c r="L666">
        <v>275</v>
      </c>
      <c r="M666" s="1" t="s">
        <v>37</v>
      </c>
    </row>
    <row r="667" spans="1:13" x14ac:dyDescent="0.3">
      <c r="A667" s="1" t="s">
        <v>93</v>
      </c>
      <c r="B667" s="2">
        <v>46031</v>
      </c>
      <c r="C667" s="1" t="s">
        <v>94</v>
      </c>
      <c r="D667" s="1" t="s">
        <v>61</v>
      </c>
      <c r="E667" s="1" t="s">
        <v>62</v>
      </c>
      <c r="F667" s="1" t="s">
        <v>40</v>
      </c>
      <c r="G667" s="1" t="s">
        <v>96</v>
      </c>
      <c r="H667" s="1" t="s">
        <v>85</v>
      </c>
      <c r="I667">
        <v>2</v>
      </c>
      <c r="J667">
        <v>160</v>
      </c>
      <c r="K667">
        <v>0.1</v>
      </c>
      <c r="L667">
        <v>288</v>
      </c>
      <c r="M667" s="1" t="s">
        <v>37</v>
      </c>
    </row>
    <row r="668" spans="1:13" x14ac:dyDescent="0.3">
      <c r="A668" s="1" t="s">
        <v>93</v>
      </c>
      <c r="B668" s="2">
        <v>46033</v>
      </c>
      <c r="C668" s="1" t="s">
        <v>94</v>
      </c>
      <c r="D668" s="1" t="s">
        <v>30</v>
      </c>
      <c r="E668" s="1" t="s">
        <v>31</v>
      </c>
      <c r="F668" s="1" t="s">
        <v>23</v>
      </c>
      <c r="G668" s="1" t="s">
        <v>96</v>
      </c>
      <c r="H668" s="1" t="s">
        <v>19</v>
      </c>
      <c r="I668">
        <v>3</v>
      </c>
      <c r="J668">
        <v>2800</v>
      </c>
      <c r="K668">
        <v>0</v>
      </c>
      <c r="L668">
        <v>8400</v>
      </c>
      <c r="M668" s="1" t="s">
        <v>33</v>
      </c>
    </row>
    <row r="669" spans="1:13" x14ac:dyDescent="0.3">
      <c r="A669" s="1" t="s">
        <v>93</v>
      </c>
      <c r="B669" s="2">
        <v>46045</v>
      </c>
      <c r="C669" s="1" t="s">
        <v>94</v>
      </c>
      <c r="D669" s="1" t="s">
        <v>54</v>
      </c>
      <c r="E669" s="1" t="s">
        <v>55</v>
      </c>
      <c r="F669" s="1" t="s">
        <v>23</v>
      </c>
      <c r="G669" s="1" t="s">
        <v>95</v>
      </c>
      <c r="H669" s="1" t="s">
        <v>78</v>
      </c>
      <c r="I669">
        <v>4</v>
      </c>
      <c r="J669">
        <v>75</v>
      </c>
      <c r="K669">
        <v>0.05</v>
      </c>
      <c r="L669">
        <v>285</v>
      </c>
      <c r="M669" s="1" t="s">
        <v>20</v>
      </c>
    </row>
    <row r="670" spans="1:13" x14ac:dyDescent="0.3">
      <c r="A670" s="1" t="s">
        <v>93</v>
      </c>
      <c r="B670" s="2">
        <v>46049</v>
      </c>
      <c r="C670" s="1" t="s">
        <v>94</v>
      </c>
      <c r="D670" s="1" t="s">
        <v>65</v>
      </c>
      <c r="E670" s="1" t="s">
        <v>66</v>
      </c>
      <c r="F670" s="1" t="s">
        <v>40</v>
      </c>
      <c r="G670" s="1" t="s">
        <v>96</v>
      </c>
      <c r="H670" s="1" t="s">
        <v>80</v>
      </c>
      <c r="I670">
        <v>4</v>
      </c>
      <c r="J670">
        <v>210</v>
      </c>
      <c r="K670">
        <v>0</v>
      </c>
      <c r="L670">
        <v>840</v>
      </c>
      <c r="M670" s="1" t="s">
        <v>25</v>
      </c>
    </row>
    <row r="671" spans="1:13" x14ac:dyDescent="0.3">
      <c r="A671" s="1" t="s">
        <v>93</v>
      </c>
      <c r="B671" s="2">
        <v>46023</v>
      </c>
      <c r="C671" s="1" t="s">
        <v>94</v>
      </c>
      <c r="D671" s="1" t="s">
        <v>72</v>
      </c>
      <c r="E671" s="1" t="s">
        <v>73</v>
      </c>
      <c r="F671" s="1" t="s">
        <v>17</v>
      </c>
      <c r="G671" s="1" t="s">
        <v>96</v>
      </c>
      <c r="H671" s="1" t="s">
        <v>56</v>
      </c>
      <c r="I671">
        <v>5</v>
      </c>
      <c r="J671">
        <v>170</v>
      </c>
      <c r="K671">
        <v>0</v>
      </c>
      <c r="L671">
        <v>850</v>
      </c>
      <c r="M671" s="1" t="s">
        <v>37</v>
      </c>
    </row>
    <row r="672" spans="1:13" x14ac:dyDescent="0.3">
      <c r="A672" s="1" t="s">
        <v>93</v>
      </c>
      <c r="B672" s="2">
        <v>46051</v>
      </c>
      <c r="C672" s="1" t="s">
        <v>94</v>
      </c>
      <c r="D672" s="1" t="s">
        <v>65</v>
      </c>
      <c r="E672" s="1" t="s">
        <v>66</v>
      </c>
      <c r="F672" s="1" t="s">
        <v>40</v>
      </c>
      <c r="G672" s="1" t="s">
        <v>95</v>
      </c>
      <c r="H672" s="1" t="s">
        <v>85</v>
      </c>
      <c r="I672">
        <v>5</v>
      </c>
      <c r="J672">
        <v>210</v>
      </c>
      <c r="K672">
        <v>0.05</v>
      </c>
      <c r="L672">
        <v>997.5</v>
      </c>
      <c r="M672" s="1" t="s">
        <v>37</v>
      </c>
    </row>
    <row r="673" spans="1:13" x14ac:dyDescent="0.3">
      <c r="A673" s="1" t="s">
        <v>93</v>
      </c>
      <c r="B673" s="2">
        <v>46044</v>
      </c>
      <c r="C673" s="1" t="s">
        <v>94</v>
      </c>
      <c r="D673" s="1" t="s">
        <v>65</v>
      </c>
      <c r="E673" s="1" t="s">
        <v>66</v>
      </c>
      <c r="F673" s="1" t="s">
        <v>40</v>
      </c>
      <c r="G673" s="1" t="s">
        <v>96</v>
      </c>
      <c r="H673" s="1" t="s">
        <v>36</v>
      </c>
      <c r="I673">
        <v>4</v>
      </c>
      <c r="J673">
        <v>210</v>
      </c>
      <c r="K673">
        <v>0</v>
      </c>
      <c r="L673">
        <v>840</v>
      </c>
      <c r="M673" s="1" t="s">
        <v>37</v>
      </c>
    </row>
    <row r="674" spans="1:13" x14ac:dyDescent="0.3">
      <c r="A674" s="1" t="s">
        <v>93</v>
      </c>
      <c r="B674" s="2">
        <v>46052</v>
      </c>
      <c r="C674" s="1" t="s">
        <v>94</v>
      </c>
      <c r="D674" s="1" t="s">
        <v>15</v>
      </c>
      <c r="E674" s="1" t="s">
        <v>16</v>
      </c>
      <c r="F674" s="1" t="s">
        <v>17</v>
      </c>
      <c r="G674" s="1" t="s">
        <v>96</v>
      </c>
      <c r="H674" s="1" t="s">
        <v>79</v>
      </c>
      <c r="I674">
        <v>5</v>
      </c>
      <c r="J674">
        <v>60</v>
      </c>
      <c r="K674">
        <v>0</v>
      </c>
      <c r="L674">
        <v>300</v>
      </c>
      <c r="M674" s="1" t="s">
        <v>25</v>
      </c>
    </row>
    <row r="675" spans="1:13" x14ac:dyDescent="0.3">
      <c r="A675" s="1" t="s">
        <v>93</v>
      </c>
      <c r="B675" s="2">
        <v>46037</v>
      </c>
      <c r="C675" s="1" t="s">
        <v>94</v>
      </c>
      <c r="D675" s="1" t="s">
        <v>54</v>
      </c>
      <c r="E675" s="1" t="s">
        <v>55</v>
      </c>
      <c r="F675" s="1" t="s">
        <v>23</v>
      </c>
      <c r="G675" s="1" t="s">
        <v>95</v>
      </c>
      <c r="H675" s="1" t="s">
        <v>56</v>
      </c>
      <c r="I675">
        <v>4</v>
      </c>
      <c r="J675">
        <v>75</v>
      </c>
      <c r="K675">
        <v>0</v>
      </c>
      <c r="L675">
        <v>300</v>
      </c>
      <c r="M675" s="1" t="s">
        <v>20</v>
      </c>
    </row>
    <row r="676" spans="1:13" x14ac:dyDescent="0.3">
      <c r="A676" s="1" t="s">
        <v>93</v>
      </c>
      <c r="B676" s="2">
        <v>46051</v>
      </c>
      <c r="C676" s="1" t="s">
        <v>94</v>
      </c>
      <c r="D676" s="1" t="s">
        <v>21</v>
      </c>
      <c r="E676" s="1" t="s">
        <v>22</v>
      </c>
      <c r="F676" s="1" t="s">
        <v>23</v>
      </c>
      <c r="G676" s="1" t="s">
        <v>96</v>
      </c>
      <c r="H676" s="1" t="s">
        <v>36</v>
      </c>
      <c r="I676">
        <v>3</v>
      </c>
      <c r="J676">
        <v>220</v>
      </c>
      <c r="K676">
        <v>0</v>
      </c>
      <c r="L676">
        <v>660</v>
      </c>
      <c r="M676" s="1" t="s">
        <v>37</v>
      </c>
    </row>
    <row r="677" spans="1:13" x14ac:dyDescent="0.3">
      <c r="A677" s="1" t="s">
        <v>93</v>
      </c>
      <c r="B677" s="2">
        <v>46046</v>
      </c>
      <c r="C677" s="1" t="s">
        <v>94</v>
      </c>
      <c r="D677" s="1" t="s">
        <v>26</v>
      </c>
      <c r="E677" s="1" t="s">
        <v>27</v>
      </c>
      <c r="F677" s="1" t="s">
        <v>28</v>
      </c>
      <c r="G677" s="1" t="s">
        <v>95</v>
      </c>
      <c r="H677" s="1" t="s">
        <v>46</v>
      </c>
      <c r="I677">
        <v>1</v>
      </c>
      <c r="J677">
        <v>180</v>
      </c>
      <c r="K677">
        <v>0</v>
      </c>
      <c r="L677">
        <v>180</v>
      </c>
      <c r="M677" s="1" t="s">
        <v>33</v>
      </c>
    </row>
    <row r="678" spans="1:13" x14ac:dyDescent="0.3">
      <c r="A678" s="1" t="s">
        <v>93</v>
      </c>
      <c r="B678" s="2">
        <v>46053</v>
      </c>
      <c r="C678" s="1" t="s">
        <v>94</v>
      </c>
      <c r="D678" s="1" t="s">
        <v>43</v>
      </c>
      <c r="E678" s="1" t="s">
        <v>44</v>
      </c>
      <c r="F678" s="1" t="s">
        <v>45</v>
      </c>
      <c r="G678" s="1" t="s">
        <v>95</v>
      </c>
      <c r="H678" s="1" t="s">
        <v>29</v>
      </c>
      <c r="I678">
        <v>1</v>
      </c>
      <c r="J678">
        <v>140</v>
      </c>
      <c r="K678">
        <v>0.05</v>
      </c>
      <c r="L678">
        <v>133</v>
      </c>
      <c r="M678" s="1" t="s">
        <v>33</v>
      </c>
    </row>
    <row r="679" spans="1:13" x14ac:dyDescent="0.3">
      <c r="A679" s="1" t="s">
        <v>93</v>
      </c>
      <c r="B679" s="2">
        <v>46041</v>
      </c>
      <c r="C679" s="1" t="s">
        <v>94</v>
      </c>
      <c r="D679" s="1" t="s">
        <v>26</v>
      </c>
      <c r="E679" s="1" t="s">
        <v>27</v>
      </c>
      <c r="F679" s="1" t="s">
        <v>28</v>
      </c>
      <c r="G679" s="1" t="s">
        <v>95</v>
      </c>
      <c r="H679" s="1" t="s">
        <v>85</v>
      </c>
      <c r="I679">
        <v>4</v>
      </c>
      <c r="J679">
        <v>180</v>
      </c>
      <c r="K679">
        <v>0.05</v>
      </c>
      <c r="L679">
        <v>684</v>
      </c>
      <c r="M679" s="1" t="s">
        <v>20</v>
      </c>
    </row>
    <row r="680" spans="1:13" x14ac:dyDescent="0.3">
      <c r="A680" s="1" t="s">
        <v>93</v>
      </c>
      <c r="B680" s="2">
        <v>46045</v>
      </c>
      <c r="C680" s="1" t="s">
        <v>94</v>
      </c>
      <c r="D680" s="1" t="s">
        <v>21</v>
      </c>
      <c r="E680" s="1" t="s">
        <v>22</v>
      </c>
      <c r="F680" s="1" t="s">
        <v>23</v>
      </c>
      <c r="G680" s="1" t="s">
        <v>95</v>
      </c>
      <c r="H680" s="1" t="s">
        <v>83</v>
      </c>
      <c r="I680">
        <v>5</v>
      </c>
      <c r="J680">
        <v>220</v>
      </c>
      <c r="K680">
        <v>0.15</v>
      </c>
      <c r="L680">
        <v>935</v>
      </c>
      <c r="M680" s="1" t="s">
        <v>20</v>
      </c>
    </row>
    <row r="681" spans="1:13" x14ac:dyDescent="0.3">
      <c r="A681" s="1" t="s">
        <v>93</v>
      </c>
      <c r="B681" s="2">
        <v>46041</v>
      </c>
      <c r="C681" s="1" t="s">
        <v>94</v>
      </c>
      <c r="D681" s="1" t="s">
        <v>54</v>
      </c>
      <c r="E681" s="1" t="s">
        <v>55</v>
      </c>
      <c r="F681" s="1" t="s">
        <v>23</v>
      </c>
      <c r="G681" s="1" t="s">
        <v>96</v>
      </c>
      <c r="H681" s="1" t="s">
        <v>67</v>
      </c>
      <c r="I681">
        <v>1</v>
      </c>
      <c r="J681">
        <v>75</v>
      </c>
      <c r="K681">
        <v>0.1</v>
      </c>
      <c r="L681">
        <v>67.5</v>
      </c>
      <c r="M681" s="1" t="s">
        <v>33</v>
      </c>
    </row>
    <row r="682" spans="1:13" x14ac:dyDescent="0.3">
      <c r="A682" s="1" t="s">
        <v>93</v>
      </c>
      <c r="B682" s="2">
        <v>46047</v>
      </c>
      <c r="C682" s="1" t="s">
        <v>94</v>
      </c>
      <c r="D682" s="1" t="s">
        <v>30</v>
      </c>
      <c r="E682" s="1" t="s">
        <v>31</v>
      </c>
      <c r="F682" s="1" t="s">
        <v>23</v>
      </c>
      <c r="G682" s="1" t="s">
        <v>96</v>
      </c>
      <c r="H682" s="1" t="s">
        <v>74</v>
      </c>
      <c r="I682">
        <v>2</v>
      </c>
      <c r="J682">
        <v>2800</v>
      </c>
      <c r="K682">
        <v>0</v>
      </c>
      <c r="L682">
        <v>5600</v>
      </c>
      <c r="M682" s="1" t="s">
        <v>25</v>
      </c>
    </row>
    <row r="683" spans="1:13" x14ac:dyDescent="0.3">
      <c r="A683" s="1" t="s">
        <v>93</v>
      </c>
      <c r="B683" s="2">
        <v>46034</v>
      </c>
      <c r="C683" s="1" t="s">
        <v>94</v>
      </c>
      <c r="D683" s="1" t="s">
        <v>49</v>
      </c>
      <c r="E683" s="1" t="s">
        <v>50</v>
      </c>
      <c r="F683" s="1" t="s">
        <v>45</v>
      </c>
      <c r="G683" s="1" t="s">
        <v>96</v>
      </c>
      <c r="H683" s="1" t="s">
        <v>19</v>
      </c>
      <c r="I683">
        <v>5</v>
      </c>
      <c r="J683">
        <v>35</v>
      </c>
      <c r="K683">
        <v>0.05</v>
      </c>
      <c r="L683">
        <v>166.25</v>
      </c>
      <c r="M683" s="1" t="s">
        <v>20</v>
      </c>
    </row>
    <row r="684" spans="1:13" x14ac:dyDescent="0.3">
      <c r="A684" s="1" t="s">
        <v>93</v>
      </c>
      <c r="B684" s="2">
        <v>46026</v>
      </c>
      <c r="C684" s="1" t="s">
        <v>94</v>
      </c>
      <c r="D684" s="1" t="s">
        <v>30</v>
      </c>
      <c r="E684" s="1" t="s">
        <v>31</v>
      </c>
      <c r="F684" s="1" t="s">
        <v>23</v>
      </c>
      <c r="G684" s="1" t="s">
        <v>96</v>
      </c>
      <c r="H684" s="1" t="s">
        <v>75</v>
      </c>
      <c r="I684">
        <v>4</v>
      </c>
      <c r="J684">
        <v>2800</v>
      </c>
      <c r="K684">
        <v>0.1</v>
      </c>
      <c r="L684">
        <v>10080</v>
      </c>
      <c r="M684" s="1" t="s">
        <v>37</v>
      </c>
    </row>
    <row r="685" spans="1:13" x14ac:dyDescent="0.3">
      <c r="A685" s="1" t="s">
        <v>93</v>
      </c>
      <c r="B685" s="2">
        <v>46039</v>
      </c>
      <c r="C685" s="1" t="s">
        <v>94</v>
      </c>
      <c r="D685" s="1" t="s">
        <v>47</v>
      </c>
      <c r="E685" s="1" t="s">
        <v>48</v>
      </c>
      <c r="F685" s="1" t="s">
        <v>45</v>
      </c>
      <c r="G685" s="1" t="s">
        <v>96</v>
      </c>
      <c r="H685" s="1" t="s">
        <v>68</v>
      </c>
      <c r="I685">
        <v>4</v>
      </c>
      <c r="J685">
        <v>85</v>
      </c>
      <c r="K685">
        <v>0</v>
      </c>
      <c r="L685">
        <v>340</v>
      </c>
      <c r="M685" s="1" t="s">
        <v>37</v>
      </c>
    </row>
    <row r="686" spans="1:13" x14ac:dyDescent="0.3">
      <c r="A686" s="1" t="s">
        <v>93</v>
      </c>
      <c r="B686" s="2">
        <v>46050</v>
      </c>
      <c r="C686" s="1" t="s">
        <v>94</v>
      </c>
      <c r="D686" s="1" t="s">
        <v>61</v>
      </c>
      <c r="E686" s="1" t="s">
        <v>62</v>
      </c>
      <c r="F686" s="1" t="s">
        <v>40</v>
      </c>
      <c r="G686" s="1" t="s">
        <v>95</v>
      </c>
      <c r="H686" s="1" t="s">
        <v>19</v>
      </c>
      <c r="I686">
        <v>5</v>
      </c>
      <c r="J686">
        <v>160</v>
      </c>
      <c r="K686">
        <v>0</v>
      </c>
      <c r="L686">
        <v>800</v>
      </c>
      <c r="M686" s="1" t="s">
        <v>20</v>
      </c>
    </row>
    <row r="687" spans="1:13" x14ac:dyDescent="0.3">
      <c r="A687" s="1" t="s">
        <v>93</v>
      </c>
      <c r="B687" s="2">
        <v>46041</v>
      </c>
      <c r="C687" s="1" t="s">
        <v>94</v>
      </c>
      <c r="D687" s="1" t="s">
        <v>15</v>
      </c>
      <c r="E687" s="1" t="s">
        <v>16</v>
      </c>
      <c r="F687" s="1" t="s">
        <v>17</v>
      </c>
      <c r="G687" s="1" t="s">
        <v>96</v>
      </c>
      <c r="H687" s="1" t="s">
        <v>42</v>
      </c>
      <c r="I687">
        <v>2</v>
      </c>
      <c r="J687">
        <v>60</v>
      </c>
      <c r="K687">
        <v>0.05</v>
      </c>
      <c r="L687">
        <v>114</v>
      </c>
      <c r="M687" s="1" t="s">
        <v>20</v>
      </c>
    </row>
    <row r="688" spans="1:13" x14ac:dyDescent="0.3">
      <c r="A688" s="1" t="s">
        <v>93</v>
      </c>
      <c r="B688" s="2">
        <v>46031</v>
      </c>
      <c r="C688" s="1" t="s">
        <v>94</v>
      </c>
      <c r="D688" s="1" t="s">
        <v>21</v>
      </c>
      <c r="E688" s="1" t="s">
        <v>22</v>
      </c>
      <c r="F688" s="1" t="s">
        <v>23</v>
      </c>
      <c r="G688" s="1" t="s">
        <v>96</v>
      </c>
      <c r="H688" s="1" t="s">
        <v>74</v>
      </c>
      <c r="I688">
        <v>2</v>
      </c>
      <c r="J688">
        <v>220</v>
      </c>
      <c r="K688">
        <v>0</v>
      </c>
      <c r="L688">
        <v>440</v>
      </c>
      <c r="M688" s="1" t="s">
        <v>20</v>
      </c>
    </row>
    <row r="689" spans="1:13" x14ac:dyDescent="0.3">
      <c r="A689" s="1" t="s">
        <v>93</v>
      </c>
      <c r="B689" s="2">
        <v>46025</v>
      </c>
      <c r="C689" s="1" t="s">
        <v>94</v>
      </c>
      <c r="D689" s="1" t="s">
        <v>38</v>
      </c>
      <c r="E689" s="1" t="s">
        <v>39</v>
      </c>
      <c r="F689" s="1" t="s">
        <v>40</v>
      </c>
      <c r="G689" s="1" t="s">
        <v>95</v>
      </c>
      <c r="H689" s="1" t="s">
        <v>42</v>
      </c>
      <c r="I689">
        <v>5</v>
      </c>
      <c r="J689">
        <v>55</v>
      </c>
      <c r="K689">
        <v>0.1</v>
      </c>
      <c r="L689">
        <v>247.5</v>
      </c>
      <c r="M689" s="1" t="s">
        <v>33</v>
      </c>
    </row>
    <row r="690" spans="1:13" x14ac:dyDescent="0.3">
      <c r="A690" s="1" t="s">
        <v>93</v>
      </c>
      <c r="B690" s="2">
        <v>46023</v>
      </c>
      <c r="C690" s="1" t="s">
        <v>94</v>
      </c>
      <c r="D690" s="1" t="s">
        <v>43</v>
      </c>
      <c r="E690" s="1" t="s">
        <v>44</v>
      </c>
      <c r="F690" s="1" t="s">
        <v>45</v>
      </c>
      <c r="G690" s="1" t="s">
        <v>95</v>
      </c>
      <c r="H690" s="1" t="s">
        <v>56</v>
      </c>
      <c r="I690">
        <v>4</v>
      </c>
      <c r="J690">
        <v>140</v>
      </c>
      <c r="K690">
        <v>0</v>
      </c>
      <c r="L690">
        <v>560</v>
      </c>
      <c r="M690" s="1" t="s">
        <v>33</v>
      </c>
    </row>
    <row r="691" spans="1:13" x14ac:dyDescent="0.3">
      <c r="A691" s="1" t="s">
        <v>93</v>
      </c>
      <c r="B691" s="2">
        <v>46040</v>
      </c>
      <c r="C691" s="1" t="s">
        <v>94</v>
      </c>
      <c r="D691" s="1" t="s">
        <v>34</v>
      </c>
      <c r="E691" s="1" t="s">
        <v>35</v>
      </c>
      <c r="F691" s="1" t="s">
        <v>28</v>
      </c>
      <c r="G691" s="1" t="s">
        <v>96</v>
      </c>
      <c r="H691" s="1" t="s">
        <v>59</v>
      </c>
      <c r="I691">
        <v>5</v>
      </c>
      <c r="J691">
        <v>120</v>
      </c>
      <c r="K691">
        <v>0</v>
      </c>
      <c r="L691">
        <v>600</v>
      </c>
      <c r="M691" s="1" t="s">
        <v>20</v>
      </c>
    </row>
    <row r="692" spans="1:13" x14ac:dyDescent="0.3">
      <c r="A692" s="1" t="s">
        <v>93</v>
      </c>
      <c r="B692" s="2">
        <v>46031</v>
      </c>
      <c r="C692" s="1" t="s">
        <v>94</v>
      </c>
      <c r="D692" s="1" t="s">
        <v>69</v>
      </c>
      <c r="E692" s="1" t="s">
        <v>70</v>
      </c>
      <c r="F692" s="1" t="s">
        <v>28</v>
      </c>
      <c r="G692" s="1" t="s">
        <v>95</v>
      </c>
      <c r="H692" s="1" t="s">
        <v>51</v>
      </c>
      <c r="I692">
        <v>4</v>
      </c>
      <c r="J692">
        <v>95</v>
      </c>
      <c r="K692">
        <v>0</v>
      </c>
      <c r="L692">
        <v>380</v>
      </c>
      <c r="M692" s="1" t="s">
        <v>20</v>
      </c>
    </row>
    <row r="693" spans="1:13" x14ac:dyDescent="0.3">
      <c r="A693" s="1" t="s">
        <v>93</v>
      </c>
      <c r="B693" s="2">
        <v>46045</v>
      </c>
      <c r="C693" s="1" t="s">
        <v>94</v>
      </c>
      <c r="D693" s="1" t="s">
        <v>54</v>
      </c>
      <c r="E693" s="1" t="s">
        <v>55</v>
      </c>
      <c r="F693" s="1" t="s">
        <v>23</v>
      </c>
      <c r="G693" s="1" t="s">
        <v>95</v>
      </c>
      <c r="H693" s="1" t="s">
        <v>59</v>
      </c>
      <c r="I693">
        <v>5</v>
      </c>
      <c r="J693">
        <v>75</v>
      </c>
      <c r="K693">
        <v>0.15</v>
      </c>
      <c r="L693">
        <v>318.75</v>
      </c>
      <c r="M693" s="1" t="s">
        <v>37</v>
      </c>
    </row>
    <row r="694" spans="1:13" x14ac:dyDescent="0.3">
      <c r="A694" s="1" t="s">
        <v>93</v>
      </c>
      <c r="B694" s="2">
        <v>46039</v>
      </c>
      <c r="C694" s="1" t="s">
        <v>94</v>
      </c>
      <c r="D694" s="1" t="s">
        <v>26</v>
      </c>
      <c r="E694" s="1" t="s">
        <v>27</v>
      </c>
      <c r="F694" s="1" t="s">
        <v>28</v>
      </c>
      <c r="G694" s="1" t="s">
        <v>96</v>
      </c>
      <c r="H694" s="1" t="s">
        <v>36</v>
      </c>
      <c r="I694">
        <v>5</v>
      </c>
      <c r="J694">
        <v>180</v>
      </c>
      <c r="K694">
        <v>0.15</v>
      </c>
      <c r="L694">
        <v>765</v>
      </c>
      <c r="M694" s="1" t="s">
        <v>33</v>
      </c>
    </row>
    <row r="695" spans="1:13" x14ac:dyDescent="0.3">
      <c r="A695" s="1" t="s">
        <v>93</v>
      </c>
      <c r="B695" s="2">
        <v>46023</v>
      </c>
      <c r="C695" s="1" t="s">
        <v>94</v>
      </c>
      <c r="D695" s="1" t="s">
        <v>34</v>
      </c>
      <c r="E695" s="1" t="s">
        <v>35</v>
      </c>
      <c r="F695" s="1" t="s">
        <v>28</v>
      </c>
      <c r="G695" s="1" t="s">
        <v>95</v>
      </c>
      <c r="H695" s="1" t="s">
        <v>82</v>
      </c>
      <c r="I695">
        <v>3</v>
      </c>
      <c r="J695">
        <v>120</v>
      </c>
      <c r="K695">
        <v>0</v>
      </c>
      <c r="L695">
        <v>360</v>
      </c>
      <c r="M695" s="1" t="s">
        <v>20</v>
      </c>
    </row>
    <row r="696" spans="1:13" x14ac:dyDescent="0.3">
      <c r="A696" s="1" t="s">
        <v>93</v>
      </c>
      <c r="B696" s="2">
        <v>46047</v>
      </c>
      <c r="C696" s="1" t="s">
        <v>94</v>
      </c>
      <c r="D696" s="1" t="s">
        <v>47</v>
      </c>
      <c r="E696" s="1" t="s">
        <v>48</v>
      </c>
      <c r="F696" s="1" t="s">
        <v>45</v>
      </c>
      <c r="G696" s="1" t="s">
        <v>96</v>
      </c>
      <c r="H696" s="1" t="s">
        <v>29</v>
      </c>
      <c r="I696">
        <v>2</v>
      </c>
      <c r="J696">
        <v>85</v>
      </c>
      <c r="K696">
        <v>0.05</v>
      </c>
      <c r="L696">
        <v>161.5</v>
      </c>
      <c r="M696" s="1" t="s">
        <v>20</v>
      </c>
    </row>
    <row r="697" spans="1:13" x14ac:dyDescent="0.3">
      <c r="A697" s="1" t="s">
        <v>93</v>
      </c>
      <c r="B697" s="2">
        <v>46053</v>
      </c>
      <c r="C697" s="1" t="s">
        <v>94</v>
      </c>
      <c r="D697" s="1" t="s">
        <v>61</v>
      </c>
      <c r="E697" s="1" t="s">
        <v>62</v>
      </c>
      <c r="F697" s="1" t="s">
        <v>40</v>
      </c>
      <c r="G697" s="1" t="s">
        <v>95</v>
      </c>
      <c r="H697" s="1" t="s">
        <v>84</v>
      </c>
      <c r="I697">
        <v>4</v>
      </c>
      <c r="J697">
        <v>160</v>
      </c>
      <c r="K697">
        <v>0</v>
      </c>
      <c r="L697">
        <v>640</v>
      </c>
      <c r="M697" s="1" t="s">
        <v>37</v>
      </c>
    </row>
    <row r="698" spans="1:13" x14ac:dyDescent="0.3">
      <c r="A698" s="1" t="s">
        <v>93</v>
      </c>
      <c r="B698" s="2">
        <v>46025</v>
      </c>
      <c r="C698" s="1" t="s">
        <v>94</v>
      </c>
      <c r="D698" s="1" t="s">
        <v>54</v>
      </c>
      <c r="E698" s="1" t="s">
        <v>55</v>
      </c>
      <c r="F698" s="1" t="s">
        <v>23</v>
      </c>
      <c r="G698" s="1" t="s">
        <v>95</v>
      </c>
      <c r="H698" s="1" t="s">
        <v>63</v>
      </c>
      <c r="I698">
        <v>1</v>
      </c>
      <c r="J698">
        <v>75</v>
      </c>
      <c r="K698">
        <v>0</v>
      </c>
      <c r="L698">
        <v>75</v>
      </c>
      <c r="M698" s="1" t="s">
        <v>20</v>
      </c>
    </row>
    <row r="699" spans="1:13" x14ac:dyDescent="0.3">
      <c r="A699" s="1" t="s">
        <v>93</v>
      </c>
      <c r="B699" s="2">
        <v>46047</v>
      </c>
      <c r="C699" s="1" t="s">
        <v>94</v>
      </c>
      <c r="D699" s="1" t="s">
        <v>54</v>
      </c>
      <c r="E699" s="1" t="s">
        <v>55</v>
      </c>
      <c r="F699" s="1" t="s">
        <v>23</v>
      </c>
      <c r="G699" s="1" t="s">
        <v>96</v>
      </c>
      <c r="H699" s="1" t="s">
        <v>63</v>
      </c>
      <c r="I699">
        <v>2</v>
      </c>
      <c r="J699">
        <v>75</v>
      </c>
      <c r="K699">
        <v>0</v>
      </c>
      <c r="L699">
        <v>150</v>
      </c>
      <c r="M699" s="1" t="s">
        <v>33</v>
      </c>
    </row>
    <row r="700" spans="1:13" x14ac:dyDescent="0.3">
      <c r="A700" s="1" t="s">
        <v>93</v>
      </c>
      <c r="B700" s="2">
        <v>46037</v>
      </c>
      <c r="C700" s="1" t="s">
        <v>94</v>
      </c>
      <c r="D700" s="1" t="s">
        <v>49</v>
      </c>
      <c r="E700" s="1" t="s">
        <v>50</v>
      </c>
      <c r="F700" s="1" t="s">
        <v>45</v>
      </c>
      <c r="G700" s="1" t="s">
        <v>96</v>
      </c>
      <c r="H700" s="1" t="s">
        <v>78</v>
      </c>
      <c r="I700">
        <v>4</v>
      </c>
      <c r="J700">
        <v>35</v>
      </c>
      <c r="K700">
        <v>0</v>
      </c>
      <c r="L700">
        <v>140</v>
      </c>
      <c r="M700" s="1" t="s">
        <v>20</v>
      </c>
    </row>
    <row r="701" spans="1:13" x14ac:dyDescent="0.3">
      <c r="A701" s="1" t="s">
        <v>93</v>
      </c>
      <c r="B701" s="2">
        <v>46046</v>
      </c>
      <c r="C701" s="1" t="s">
        <v>94</v>
      </c>
      <c r="D701" s="1" t="s">
        <v>38</v>
      </c>
      <c r="E701" s="1" t="s">
        <v>39</v>
      </c>
      <c r="F701" s="1" t="s">
        <v>40</v>
      </c>
      <c r="G701" s="1" t="s">
        <v>95</v>
      </c>
      <c r="H701" s="1" t="s">
        <v>51</v>
      </c>
      <c r="I701">
        <v>1</v>
      </c>
      <c r="J701">
        <v>55</v>
      </c>
      <c r="K701">
        <v>0.05</v>
      </c>
      <c r="L701">
        <v>52.25</v>
      </c>
      <c r="M701" s="1" t="s">
        <v>33</v>
      </c>
    </row>
    <row r="702" spans="1:13" x14ac:dyDescent="0.3">
      <c r="A702" s="1" t="s">
        <v>97</v>
      </c>
      <c r="B702" s="2">
        <v>46060</v>
      </c>
      <c r="C702" s="1" t="s">
        <v>94</v>
      </c>
      <c r="D702" s="1" t="s">
        <v>34</v>
      </c>
      <c r="E702" s="1" t="s">
        <v>35</v>
      </c>
      <c r="F702" s="1" t="s">
        <v>28</v>
      </c>
      <c r="G702" s="1" t="s">
        <v>95</v>
      </c>
      <c r="H702" s="1" t="s">
        <v>80</v>
      </c>
      <c r="I702">
        <v>1</v>
      </c>
      <c r="J702">
        <v>120</v>
      </c>
      <c r="K702">
        <v>0</v>
      </c>
      <c r="L702">
        <v>120</v>
      </c>
      <c r="M702" s="1" t="s">
        <v>37</v>
      </c>
    </row>
    <row r="703" spans="1:13" x14ac:dyDescent="0.3">
      <c r="A703" s="1" t="s">
        <v>97</v>
      </c>
      <c r="B703" s="2">
        <v>46066</v>
      </c>
      <c r="C703" s="1" t="s">
        <v>94</v>
      </c>
      <c r="D703" s="1" t="s">
        <v>15</v>
      </c>
      <c r="E703" s="1" t="s">
        <v>16</v>
      </c>
      <c r="F703" s="1" t="s">
        <v>17</v>
      </c>
      <c r="G703" s="1" t="s">
        <v>95</v>
      </c>
      <c r="H703" s="1" t="s">
        <v>80</v>
      </c>
      <c r="I703">
        <v>5</v>
      </c>
      <c r="J703">
        <v>60</v>
      </c>
      <c r="K703">
        <v>0.05</v>
      </c>
      <c r="L703">
        <v>285</v>
      </c>
      <c r="M703" s="1" t="s">
        <v>20</v>
      </c>
    </row>
    <row r="704" spans="1:13" x14ac:dyDescent="0.3">
      <c r="A704" s="1" t="s">
        <v>97</v>
      </c>
      <c r="B704" s="2">
        <v>46063</v>
      </c>
      <c r="C704" s="1" t="s">
        <v>94</v>
      </c>
      <c r="D704" s="1" t="s">
        <v>69</v>
      </c>
      <c r="E704" s="1" t="s">
        <v>70</v>
      </c>
      <c r="F704" s="1" t="s">
        <v>28</v>
      </c>
      <c r="G704" s="1" t="s">
        <v>96</v>
      </c>
      <c r="H704" s="1" t="s">
        <v>81</v>
      </c>
      <c r="I704">
        <v>5</v>
      </c>
      <c r="J704">
        <v>95</v>
      </c>
      <c r="K704">
        <v>0.05</v>
      </c>
      <c r="L704">
        <v>451.25</v>
      </c>
      <c r="M704" s="1" t="s">
        <v>37</v>
      </c>
    </row>
    <row r="705" spans="1:13" x14ac:dyDescent="0.3">
      <c r="A705" s="1" t="s">
        <v>97</v>
      </c>
      <c r="B705" s="2">
        <v>46064</v>
      </c>
      <c r="C705" s="1" t="s">
        <v>94</v>
      </c>
      <c r="D705" s="1" t="s">
        <v>61</v>
      </c>
      <c r="E705" s="1" t="s">
        <v>62</v>
      </c>
      <c r="F705" s="1" t="s">
        <v>40</v>
      </c>
      <c r="G705" s="1" t="s">
        <v>95</v>
      </c>
      <c r="H705" s="1" t="s">
        <v>78</v>
      </c>
      <c r="I705">
        <v>4</v>
      </c>
      <c r="J705">
        <v>160</v>
      </c>
      <c r="K705">
        <v>0.05</v>
      </c>
      <c r="L705">
        <v>608</v>
      </c>
      <c r="M705" s="1" t="s">
        <v>25</v>
      </c>
    </row>
    <row r="706" spans="1:13" x14ac:dyDescent="0.3">
      <c r="A706" s="1" t="s">
        <v>97</v>
      </c>
      <c r="B706" s="2">
        <v>46054</v>
      </c>
      <c r="C706" s="1" t="s">
        <v>94</v>
      </c>
      <c r="D706" s="1" t="s">
        <v>38</v>
      </c>
      <c r="E706" s="1" t="s">
        <v>39</v>
      </c>
      <c r="F706" s="1" t="s">
        <v>40</v>
      </c>
      <c r="G706" s="1" t="s">
        <v>96</v>
      </c>
      <c r="H706" s="1" t="s">
        <v>64</v>
      </c>
      <c r="I706">
        <v>2</v>
      </c>
      <c r="J706">
        <v>55</v>
      </c>
      <c r="K706">
        <v>0.05</v>
      </c>
      <c r="L706">
        <v>104.5</v>
      </c>
      <c r="M706" s="1" t="s">
        <v>37</v>
      </c>
    </row>
    <row r="707" spans="1:13" x14ac:dyDescent="0.3">
      <c r="A707" s="1" t="s">
        <v>97</v>
      </c>
      <c r="B707" s="2">
        <v>46066</v>
      </c>
      <c r="C707" s="1" t="s">
        <v>94</v>
      </c>
      <c r="D707" s="1" t="s">
        <v>34</v>
      </c>
      <c r="E707" s="1" t="s">
        <v>35</v>
      </c>
      <c r="F707" s="1" t="s">
        <v>28</v>
      </c>
      <c r="G707" s="1" t="s">
        <v>95</v>
      </c>
      <c r="H707" s="1" t="s">
        <v>75</v>
      </c>
      <c r="I707">
        <v>2</v>
      </c>
      <c r="J707">
        <v>120</v>
      </c>
      <c r="K707">
        <v>0</v>
      </c>
      <c r="L707">
        <v>240</v>
      </c>
      <c r="M707" s="1" t="s">
        <v>20</v>
      </c>
    </row>
    <row r="708" spans="1:13" x14ac:dyDescent="0.3">
      <c r="A708" s="1" t="s">
        <v>97</v>
      </c>
      <c r="B708" s="2">
        <v>46074</v>
      </c>
      <c r="C708" s="1" t="s">
        <v>94</v>
      </c>
      <c r="D708" s="1" t="s">
        <v>26</v>
      </c>
      <c r="E708" s="1" t="s">
        <v>27</v>
      </c>
      <c r="F708" s="1" t="s">
        <v>28</v>
      </c>
      <c r="G708" s="1" t="s">
        <v>96</v>
      </c>
      <c r="H708" s="1" t="s">
        <v>59</v>
      </c>
      <c r="I708">
        <v>4</v>
      </c>
      <c r="J708">
        <v>180</v>
      </c>
      <c r="K708">
        <v>0.15</v>
      </c>
      <c r="L708">
        <v>612</v>
      </c>
      <c r="M708" s="1" t="s">
        <v>20</v>
      </c>
    </row>
    <row r="709" spans="1:13" x14ac:dyDescent="0.3">
      <c r="A709" s="1" t="s">
        <v>97</v>
      </c>
      <c r="B709" s="2">
        <v>46071</v>
      </c>
      <c r="C709" s="1" t="s">
        <v>94</v>
      </c>
      <c r="D709" s="1" t="s">
        <v>21</v>
      </c>
      <c r="E709" s="1" t="s">
        <v>22</v>
      </c>
      <c r="F709" s="1" t="s">
        <v>23</v>
      </c>
      <c r="G709" s="1" t="s">
        <v>95</v>
      </c>
      <c r="H709" s="1" t="s">
        <v>36</v>
      </c>
      <c r="I709">
        <v>5</v>
      </c>
      <c r="J709">
        <v>220</v>
      </c>
      <c r="K709">
        <v>0</v>
      </c>
      <c r="L709">
        <v>1100</v>
      </c>
      <c r="M709" s="1" t="s">
        <v>25</v>
      </c>
    </row>
    <row r="710" spans="1:13" x14ac:dyDescent="0.3">
      <c r="A710" s="1" t="s">
        <v>97</v>
      </c>
      <c r="B710" s="2">
        <v>46067</v>
      </c>
      <c r="C710" s="1" t="s">
        <v>94</v>
      </c>
      <c r="D710" s="1" t="s">
        <v>57</v>
      </c>
      <c r="E710" s="1" t="s">
        <v>58</v>
      </c>
      <c r="F710" s="1" t="s">
        <v>17</v>
      </c>
      <c r="G710" s="1" t="s">
        <v>95</v>
      </c>
      <c r="H710" s="1" t="s">
        <v>77</v>
      </c>
      <c r="I710">
        <v>1</v>
      </c>
      <c r="J710">
        <v>45</v>
      </c>
      <c r="K710">
        <v>0.05</v>
      </c>
      <c r="L710">
        <v>42.75</v>
      </c>
      <c r="M710" s="1" t="s">
        <v>25</v>
      </c>
    </row>
    <row r="711" spans="1:13" x14ac:dyDescent="0.3">
      <c r="A711" s="1" t="s">
        <v>97</v>
      </c>
      <c r="B711" s="2">
        <v>46068</v>
      </c>
      <c r="C711" s="1" t="s">
        <v>94</v>
      </c>
      <c r="D711" s="1" t="s">
        <v>47</v>
      </c>
      <c r="E711" s="1" t="s">
        <v>48</v>
      </c>
      <c r="F711" s="1" t="s">
        <v>45</v>
      </c>
      <c r="G711" s="1" t="s">
        <v>96</v>
      </c>
      <c r="H711" s="1" t="s">
        <v>75</v>
      </c>
      <c r="I711">
        <v>1</v>
      </c>
      <c r="J711">
        <v>85</v>
      </c>
      <c r="K711">
        <v>0</v>
      </c>
      <c r="L711">
        <v>85</v>
      </c>
      <c r="M711" s="1" t="s">
        <v>37</v>
      </c>
    </row>
    <row r="712" spans="1:13" x14ac:dyDescent="0.3">
      <c r="A712" s="1" t="s">
        <v>97</v>
      </c>
      <c r="B712" s="2">
        <v>46071</v>
      </c>
      <c r="C712" s="1" t="s">
        <v>94</v>
      </c>
      <c r="D712" s="1" t="s">
        <v>43</v>
      </c>
      <c r="E712" s="1" t="s">
        <v>44</v>
      </c>
      <c r="F712" s="1" t="s">
        <v>45</v>
      </c>
      <c r="G712" s="1" t="s">
        <v>96</v>
      </c>
      <c r="H712" s="1" t="s">
        <v>87</v>
      </c>
      <c r="I712">
        <v>1</v>
      </c>
      <c r="J712">
        <v>140</v>
      </c>
      <c r="K712">
        <v>0</v>
      </c>
      <c r="L712">
        <v>140</v>
      </c>
      <c r="M712" s="1" t="s">
        <v>20</v>
      </c>
    </row>
    <row r="713" spans="1:13" x14ac:dyDescent="0.3">
      <c r="A713" s="1" t="s">
        <v>97</v>
      </c>
      <c r="B713" s="2">
        <v>46080</v>
      </c>
      <c r="C713" s="1" t="s">
        <v>94</v>
      </c>
      <c r="D713" s="1" t="s">
        <v>65</v>
      </c>
      <c r="E713" s="1" t="s">
        <v>66</v>
      </c>
      <c r="F713" s="1" t="s">
        <v>40</v>
      </c>
      <c r="G713" s="1" t="s">
        <v>96</v>
      </c>
      <c r="H713" s="1" t="s">
        <v>68</v>
      </c>
      <c r="I713">
        <v>3</v>
      </c>
      <c r="J713">
        <v>210</v>
      </c>
      <c r="K713">
        <v>0</v>
      </c>
      <c r="L713">
        <v>630</v>
      </c>
      <c r="M713" s="1" t="s">
        <v>33</v>
      </c>
    </row>
    <row r="714" spans="1:13" x14ac:dyDescent="0.3">
      <c r="A714" s="1" t="s">
        <v>97</v>
      </c>
      <c r="B714" s="2">
        <v>46061</v>
      </c>
      <c r="C714" s="1" t="s">
        <v>94</v>
      </c>
      <c r="D714" s="1" t="s">
        <v>54</v>
      </c>
      <c r="E714" s="1" t="s">
        <v>55</v>
      </c>
      <c r="F714" s="1" t="s">
        <v>23</v>
      </c>
      <c r="G714" s="1" t="s">
        <v>95</v>
      </c>
      <c r="H714" s="1" t="s">
        <v>85</v>
      </c>
      <c r="I714">
        <v>1</v>
      </c>
      <c r="J714">
        <v>75</v>
      </c>
      <c r="K714">
        <v>0</v>
      </c>
      <c r="L714">
        <v>75</v>
      </c>
      <c r="M714" s="1" t="s">
        <v>20</v>
      </c>
    </row>
    <row r="715" spans="1:13" x14ac:dyDescent="0.3">
      <c r="A715" s="1" t="s">
        <v>97</v>
      </c>
      <c r="B715" s="2">
        <v>46066</v>
      </c>
      <c r="C715" s="1" t="s">
        <v>94</v>
      </c>
      <c r="D715" s="1" t="s">
        <v>26</v>
      </c>
      <c r="E715" s="1" t="s">
        <v>27</v>
      </c>
      <c r="F715" s="1" t="s">
        <v>28</v>
      </c>
      <c r="G715" s="1" t="s">
        <v>96</v>
      </c>
      <c r="H715" s="1" t="s">
        <v>67</v>
      </c>
      <c r="I715">
        <v>4</v>
      </c>
      <c r="J715">
        <v>180</v>
      </c>
      <c r="K715">
        <v>0</v>
      </c>
      <c r="L715">
        <v>720</v>
      </c>
      <c r="M715" s="1" t="s">
        <v>33</v>
      </c>
    </row>
    <row r="716" spans="1:13" x14ac:dyDescent="0.3">
      <c r="A716" s="1" t="s">
        <v>97</v>
      </c>
      <c r="B716" s="2">
        <v>46081</v>
      </c>
      <c r="C716" s="1" t="s">
        <v>94</v>
      </c>
      <c r="D716" s="1" t="s">
        <v>34</v>
      </c>
      <c r="E716" s="1" t="s">
        <v>35</v>
      </c>
      <c r="F716" s="1" t="s">
        <v>28</v>
      </c>
      <c r="G716" s="1" t="s">
        <v>95</v>
      </c>
      <c r="H716" s="1" t="s">
        <v>56</v>
      </c>
      <c r="I716">
        <v>1</v>
      </c>
      <c r="J716">
        <v>120</v>
      </c>
      <c r="K716">
        <v>0.05</v>
      </c>
      <c r="L716">
        <v>114</v>
      </c>
      <c r="M716" s="1" t="s">
        <v>37</v>
      </c>
    </row>
    <row r="717" spans="1:13" x14ac:dyDescent="0.3">
      <c r="A717" s="1" t="s">
        <v>97</v>
      </c>
      <c r="B717" s="2">
        <v>46076</v>
      </c>
      <c r="C717" s="1" t="s">
        <v>94</v>
      </c>
      <c r="D717" s="1" t="s">
        <v>65</v>
      </c>
      <c r="E717" s="1" t="s">
        <v>66</v>
      </c>
      <c r="F717" s="1" t="s">
        <v>40</v>
      </c>
      <c r="G717" s="1" t="s">
        <v>95</v>
      </c>
      <c r="H717" s="1" t="s">
        <v>84</v>
      </c>
      <c r="I717">
        <v>1</v>
      </c>
      <c r="J717">
        <v>210</v>
      </c>
      <c r="K717">
        <v>0.05</v>
      </c>
      <c r="L717">
        <v>199.5</v>
      </c>
      <c r="M717" s="1" t="s">
        <v>37</v>
      </c>
    </row>
    <row r="718" spans="1:13" x14ac:dyDescent="0.3">
      <c r="A718" s="1" t="s">
        <v>97</v>
      </c>
      <c r="B718" s="2">
        <v>46081</v>
      </c>
      <c r="C718" s="1" t="s">
        <v>94</v>
      </c>
      <c r="D718" s="1" t="s">
        <v>43</v>
      </c>
      <c r="E718" s="1" t="s">
        <v>44</v>
      </c>
      <c r="F718" s="1" t="s">
        <v>45</v>
      </c>
      <c r="G718" s="1" t="s">
        <v>95</v>
      </c>
      <c r="H718" s="1" t="s">
        <v>68</v>
      </c>
      <c r="I718">
        <v>3</v>
      </c>
      <c r="J718">
        <v>140</v>
      </c>
      <c r="K718">
        <v>0.05</v>
      </c>
      <c r="L718">
        <v>399</v>
      </c>
      <c r="M718" s="1" t="s">
        <v>25</v>
      </c>
    </row>
    <row r="719" spans="1:13" x14ac:dyDescent="0.3">
      <c r="A719" s="1" t="s">
        <v>97</v>
      </c>
      <c r="B719" s="2">
        <v>46055</v>
      </c>
      <c r="C719" s="1" t="s">
        <v>94</v>
      </c>
      <c r="D719" s="1" t="s">
        <v>21</v>
      </c>
      <c r="E719" s="1" t="s">
        <v>22</v>
      </c>
      <c r="F719" s="1" t="s">
        <v>23</v>
      </c>
      <c r="G719" s="1" t="s">
        <v>95</v>
      </c>
      <c r="H719" s="1" t="s">
        <v>85</v>
      </c>
      <c r="I719">
        <v>5</v>
      </c>
      <c r="J719">
        <v>220</v>
      </c>
      <c r="K719">
        <v>0</v>
      </c>
      <c r="L719">
        <v>1100</v>
      </c>
      <c r="M719" s="1" t="s">
        <v>25</v>
      </c>
    </row>
    <row r="720" spans="1:13" x14ac:dyDescent="0.3">
      <c r="A720" s="1" t="s">
        <v>97</v>
      </c>
      <c r="B720" s="2">
        <v>46060</v>
      </c>
      <c r="C720" s="1" t="s">
        <v>94</v>
      </c>
      <c r="D720" s="1" t="s">
        <v>21</v>
      </c>
      <c r="E720" s="1" t="s">
        <v>22</v>
      </c>
      <c r="F720" s="1" t="s">
        <v>23</v>
      </c>
      <c r="G720" s="1" t="s">
        <v>95</v>
      </c>
      <c r="H720" s="1" t="s">
        <v>67</v>
      </c>
      <c r="I720">
        <v>3</v>
      </c>
      <c r="J720">
        <v>220</v>
      </c>
      <c r="K720">
        <v>0</v>
      </c>
      <c r="L720">
        <v>660</v>
      </c>
      <c r="M720" s="1" t="s">
        <v>37</v>
      </c>
    </row>
    <row r="721" spans="1:13" x14ac:dyDescent="0.3">
      <c r="A721" s="1" t="s">
        <v>97</v>
      </c>
      <c r="B721" s="2">
        <v>46061</v>
      </c>
      <c r="C721" s="1" t="s">
        <v>94</v>
      </c>
      <c r="D721" s="1" t="s">
        <v>15</v>
      </c>
      <c r="E721" s="1" t="s">
        <v>16</v>
      </c>
      <c r="F721" s="1" t="s">
        <v>17</v>
      </c>
      <c r="G721" s="1" t="s">
        <v>96</v>
      </c>
      <c r="H721" s="1" t="s">
        <v>52</v>
      </c>
      <c r="I721">
        <v>3</v>
      </c>
      <c r="J721">
        <v>60</v>
      </c>
      <c r="K721">
        <v>0</v>
      </c>
      <c r="L721">
        <v>180</v>
      </c>
      <c r="M721" s="1" t="s">
        <v>20</v>
      </c>
    </row>
    <row r="722" spans="1:13" x14ac:dyDescent="0.3">
      <c r="A722" s="1" t="s">
        <v>97</v>
      </c>
      <c r="B722" s="2">
        <v>46076</v>
      </c>
      <c r="C722" s="1" t="s">
        <v>94</v>
      </c>
      <c r="D722" s="1" t="s">
        <v>69</v>
      </c>
      <c r="E722" s="1" t="s">
        <v>70</v>
      </c>
      <c r="F722" s="1" t="s">
        <v>28</v>
      </c>
      <c r="G722" s="1" t="s">
        <v>95</v>
      </c>
      <c r="H722" s="1" t="s">
        <v>46</v>
      </c>
      <c r="I722">
        <v>2</v>
      </c>
      <c r="J722">
        <v>95</v>
      </c>
      <c r="K722">
        <v>0.05</v>
      </c>
      <c r="L722">
        <v>180.5</v>
      </c>
      <c r="M722" s="1" t="s">
        <v>25</v>
      </c>
    </row>
    <row r="723" spans="1:13" x14ac:dyDescent="0.3">
      <c r="A723" s="1" t="s">
        <v>97</v>
      </c>
      <c r="B723" s="2">
        <v>46064</v>
      </c>
      <c r="C723" s="1" t="s">
        <v>94</v>
      </c>
      <c r="D723" s="1" t="s">
        <v>54</v>
      </c>
      <c r="E723" s="1" t="s">
        <v>55</v>
      </c>
      <c r="F723" s="1" t="s">
        <v>23</v>
      </c>
      <c r="G723" s="1" t="s">
        <v>96</v>
      </c>
      <c r="H723" s="1" t="s">
        <v>53</v>
      </c>
      <c r="I723">
        <v>2</v>
      </c>
      <c r="J723">
        <v>75</v>
      </c>
      <c r="K723">
        <v>0.1</v>
      </c>
      <c r="L723">
        <v>135</v>
      </c>
      <c r="M723" s="1" t="s">
        <v>25</v>
      </c>
    </row>
    <row r="724" spans="1:13" x14ac:dyDescent="0.3">
      <c r="A724" s="1" t="s">
        <v>97</v>
      </c>
      <c r="B724" s="2">
        <v>46065</v>
      </c>
      <c r="C724" s="1" t="s">
        <v>94</v>
      </c>
      <c r="D724" s="1" t="s">
        <v>43</v>
      </c>
      <c r="E724" s="1" t="s">
        <v>44</v>
      </c>
      <c r="F724" s="1" t="s">
        <v>45</v>
      </c>
      <c r="G724" s="1" t="s">
        <v>96</v>
      </c>
      <c r="H724" s="1" t="s">
        <v>79</v>
      </c>
      <c r="I724">
        <v>4</v>
      </c>
      <c r="J724">
        <v>140</v>
      </c>
      <c r="K724">
        <v>0</v>
      </c>
      <c r="L724">
        <v>560</v>
      </c>
      <c r="M724" s="1" t="s">
        <v>37</v>
      </c>
    </row>
    <row r="725" spans="1:13" x14ac:dyDescent="0.3">
      <c r="A725" s="1" t="s">
        <v>97</v>
      </c>
      <c r="B725" s="2">
        <v>46061</v>
      </c>
      <c r="C725" s="1" t="s">
        <v>94</v>
      </c>
      <c r="D725" s="1" t="s">
        <v>54</v>
      </c>
      <c r="E725" s="1" t="s">
        <v>55</v>
      </c>
      <c r="F725" s="1" t="s">
        <v>23</v>
      </c>
      <c r="G725" s="1" t="s">
        <v>95</v>
      </c>
      <c r="H725" s="1" t="s">
        <v>24</v>
      </c>
      <c r="I725">
        <v>5</v>
      </c>
      <c r="J725">
        <v>75</v>
      </c>
      <c r="K725">
        <v>0</v>
      </c>
      <c r="L725">
        <v>375</v>
      </c>
      <c r="M725" s="1" t="s">
        <v>37</v>
      </c>
    </row>
    <row r="726" spans="1:13" x14ac:dyDescent="0.3">
      <c r="A726" s="1" t="s">
        <v>97</v>
      </c>
      <c r="B726" s="2">
        <v>46064</v>
      </c>
      <c r="C726" s="1" t="s">
        <v>94</v>
      </c>
      <c r="D726" s="1" t="s">
        <v>47</v>
      </c>
      <c r="E726" s="1" t="s">
        <v>48</v>
      </c>
      <c r="F726" s="1" t="s">
        <v>45</v>
      </c>
      <c r="G726" s="1" t="s">
        <v>96</v>
      </c>
      <c r="H726" s="1" t="s">
        <v>29</v>
      </c>
      <c r="I726">
        <v>2</v>
      </c>
      <c r="J726">
        <v>85</v>
      </c>
      <c r="K726">
        <v>0.05</v>
      </c>
      <c r="L726">
        <v>161.5</v>
      </c>
      <c r="M726" s="1" t="s">
        <v>20</v>
      </c>
    </row>
    <row r="727" spans="1:13" x14ac:dyDescent="0.3">
      <c r="A727" s="1" t="s">
        <v>97</v>
      </c>
      <c r="B727" s="2">
        <v>46056</v>
      </c>
      <c r="C727" s="1" t="s">
        <v>94</v>
      </c>
      <c r="D727" s="1" t="s">
        <v>61</v>
      </c>
      <c r="E727" s="1" t="s">
        <v>62</v>
      </c>
      <c r="F727" s="1" t="s">
        <v>40</v>
      </c>
      <c r="G727" s="1" t="s">
        <v>95</v>
      </c>
      <c r="H727" s="1" t="s">
        <v>52</v>
      </c>
      <c r="I727">
        <v>3</v>
      </c>
      <c r="J727">
        <v>160</v>
      </c>
      <c r="K727">
        <v>0</v>
      </c>
      <c r="L727">
        <v>480</v>
      </c>
      <c r="M727" s="1" t="s">
        <v>37</v>
      </c>
    </row>
    <row r="728" spans="1:13" x14ac:dyDescent="0.3">
      <c r="A728" s="1" t="s">
        <v>97</v>
      </c>
      <c r="B728" s="2">
        <v>46056</v>
      </c>
      <c r="C728" s="1" t="s">
        <v>94</v>
      </c>
      <c r="D728" s="1" t="s">
        <v>54</v>
      </c>
      <c r="E728" s="1" t="s">
        <v>55</v>
      </c>
      <c r="F728" s="1" t="s">
        <v>23</v>
      </c>
      <c r="G728" s="1" t="s">
        <v>96</v>
      </c>
      <c r="H728" s="1" t="s">
        <v>29</v>
      </c>
      <c r="I728">
        <v>1</v>
      </c>
      <c r="J728">
        <v>75</v>
      </c>
      <c r="K728">
        <v>0</v>
      </c>
      <c r="L728">
        <v>75</v>
      </c>
      <c r="M728" s="1" t="s">
        <v>20</v>
      </c>
    </row>
    <row r="729" spans="1:13" x14ac:dyDescent="0.3">
      <c r="A729" s="1" t="s">
        <v>97</v>
      </c>
      <c r="B729" s="2">
        <v>46071</v>
      </c>
      <c r="C729" s="1" t="s">
        <v>94</v>
      </c>
      <c r="D729" s="1" t="s">
        <v>61</v>
      </c>
      <c r="E729" s="1" t="s">
        <v>62</v>
      </c>
      <c r="F729" s="1" t="s">
        <v>40</v>
      </c>
      <c r="G729" s="1" t="s">
        <v>95</v>
      </c>
      <c r="H729" s="1" t="s">
        <v>83</v>
      </c>
      <c r="I729">
        <v>1</v>
      </c>
      <c r="J729">
        <v>160</v>
      </c>
      <c r="K729">
        <v>0.05</v>
      </c>
      <c r="L729">
        <v>152</v>
      </c>
      <c r="M729" s="1" t="s">
        <v>37</v>
      </c>
    </row>
    <row r="730" spans="1:13" x14ac:dyDescent="0.3">
      <c r="A730" s="1" t="s">
        <v>97</v>
      </c>
      <c r="B730" s="2">
        <v>46069</v>
      </c>
      <c r="C730" s="1" t="s">
        <v>94</v>
      </c>
      <c r="D730" s="1" t="s">
        <v>21</v>
      </c>
      <c r="E730" s="1" t="s">
        <v>22</v>
      </c>
      <c r="F730" s="1" t="s">
        <v>23</v>
      </c>
      <c r="G730" s="1" t="s">
        <v>95</v>
      </c>
      <c r="H730" s="1" t="s">
        <v>78</v>
      </c>
      <c r="I730">
        <v>3</v>
      </c>
      <c r="J730">
        <v>220</v>
      </c>
      <c r="K730">
        <v>0</v>
      </c>
      <c r="L730">
        <v>660</v>
      </c>
      <c r="M730" s="1" t="s">
        <v>20</v>
      </c>
    </row>
    <row r="731" spans="1:13" x14ac:dyDescent="0.3">
      <c r="A731" s="1" t="s">
        <v>97</v>
      </c>
      <c r="B731" s="2">
        <v>46065</v>
      </c>
      <c r="C731" s="1" t="s">
        <v>94</v>
      </c>
      <c r="D731" s="1" t="s">
        <v>61</v>
      </c>
      <c r="E731" s="1" t="s">
        <v>62</v>
      </c>
      <c r="F731" s="1" t="s">
        <v>40</v>
      </c>
      <c r="G731" s="1" t="s">
        <v>96</v>
      </c>
      <c r="H731" s="1" t="s">
        <v>59</v>
      </c>
      <c r="I731">
        <v>4</v>
      </c>
      <c r="J731">
        <v>160</v>
      </c>
      <c r="K731">
        <v>0.05</v>
      </c>
      <c r="L731">
        <v>608</v>
      </c>
      <c r="M731" s="1" t="s">
        <v>37</v>
      </c>
    </row>
    <row r="732" spans="1:13" x14ac:dyDescent="0.3">
      <c r="A732" s="1" t="s">
        <v>97</v>
      </c>
      <c r="B732" s="2">
        <v>46058</v>
      </c>
      <c r="C732" s="1" t="s">
        <v>94</v>
      </c>
      <c r="D732" s="1" t="s">
        <v>38</v>
      </c>
      <c r="E732" s="1" t="s">
        <v>39</v>
      </c>
      <c r="F732" s="1" t="s">
        <v>40</v>
      </c>
      <c r="G732" s="1" t="s">
        <v>96</v>
      </c>
      <c r="H732" s="1" t="s">
        <v>87</v>
      </c>
      <c r="I732">
        <v>2</v>
      </c>
      <c r="J732">
        <v>55</v>
      </c>
      <c r="K732">
        <v>0</v>
      </c>
      <c r="L732">
        <v>110</v>
      </c>
      <c r="M732" s="1" t="s">
        <v>37</v>
      </c>
    </row>
    <row r="733" spans="1:13" x14ac:dyDescent="0.3">
      <c r="A733" s="1" t="s">
        <v>97</v>
      </c>
      <c r="B733" s="2">
        <v>46081</v>
      </c>
      <c r="C733" s="1" t="s">
        <v>94</v>
      </c>
      <c r="D733" s="1" t="s">
        <v>34</v>
      </c>
      <c r="E733" s="1" t="s">
        <v>35</v>
      </c>
      <c r="F733" s="1" t="s">
        <v>28</v>
      </c>
      <c r="G733" s="1" t="s">
        <v>96</v>
      </c>
      <c r="H733" s="1" t="s">
        <v>78</v>
      </c>
      <c r="I733">
        <v>5</v>
      </c>
      <c r="J733">
        <v>120</v>
      </c>
      <c r="K733">
        <v>0</v>
      </c>
      <c r="L733">
        <v>600</v>
      </c>
      <c r="M733" s="1" t="s">
        <v>33</v>
      </c>
    </row>
    <row r="734" spans="1:13" x14ac:dyDescent="0.3">
      <c r="A734" s="1" t="s">
        <v>97</v>
      </c>
      <c r="B734" s="2">
        <v>46060</v>
      </c>
      <c r="C734" s="1" t="s">
        <v>94</v>
      </c>
      <c r="D734" s="1" t="s">
        <v>34</v>
      </c>
      <c r="E734" s="1" t="s">
        <v>35</v>
      </c>
      <c r="F734" s="1" t="s">
        <v>28</v>
      </c>
      <c r="G734" s="1" t="s">
        <v>96</v>
      </c>
      <c r="H734" s="1" t="s">
        <v>56</v>
      </c>
      <c r="I734">
        <v>5</v>
      </c>
      <c r="J734">
        <v>120</v>
      </c>
      <c r="K734">
        <v>0.1</v>
      </c>
      <c r="L734">
        <v>540</v>
      </c>
      <c r="M734" s="1" t="s">
        <v>20</v>
      </c>
    </row>
    <row r="735" spans="1:13" x14ac:dyDescent="0.3">
      <c r="A735" s="1" t="s">
        <v>97</v>
      </c>
      <c r="B735" s="2">
        <v>46079</v>
      </c>
      <c r="C735" s="1" t="s">
        <v>94</v>
      </c>
      <c r="D735" s="1" t="s">
        <v>34</v>
      </c>
      <c r="E735" s="1" t="s">
        <v>35</v>
      </c>
      <c r="F735" s="1" t="s">
        <v>28</v>
      </c>
      <c r="G735" s="1" t="s">
        <v>95</v>
      </c>
      <c r="H735" s="1" t="s">
        <v>85</v>
      </c>
      <c r="I735">
        <v>4</v>
      </c>
      <c r="J735">
        <v>120</v>
      </c>
      <c r="K735">
        <v>0.15</v>
      </c>
      <c r="L735">
        <v>408</v>
      </c>
      <c r="M735" s="1" t="s">
        <v>37</v>
      </c>
    </row>
    <row r="736" spans="1:13" x14ac:dyDescent="0.3">
      <c r="A736" s="1" t="s">
        <v>97</v>
      </c>
      <c r="B736" s="2">
        <v>46071</v>
      </c>
      <c r="C736" s="1" t="s">
        <v>94</v>
      </c>
      <c r="D736" s="1" t="s">
        <v>69</v>
      </c>
      <c r="E736" s="1" t="s">
        <v>70</v>
      </c>
      <c r="F736" s="1" t="s">
        <v>28</v>
      </c>
      <c r="G736" s="1" t="s">
        <v>95</v>
      </c>
      <c r="H736" s="1" t="s">
        <v>52</v>
      </c>
      <c r="I736">
        <v>5</v>
      </c>
      <c r="J736">
        <v>95</v>
      </c>
      <c r="K736">
        <v>0</v>
      </c>
      <c r="L736">
        <v>475</v>
      </c>
      <c r="M736" s="1" t="s">
        <v>25</v>
      </c>
    </row>
    <row r="737" spans="1:13" x14ac:dyDescent="0.3">
      <c r="A737" s="1" t="s">
        <v>97</v>
      </c>
      <c r="B737" s="2">
        <v>46060</v>
      </c>
      <c r="C737" s="1" t="s">
        <v>94</v>
      </c>
      <c r="D737" s="1" t="s">
        <v>57</v>
      </c>
      <c r="E737" s="1" t="s">
        <v>58</v>
      </c>
      <c r="F737" s="1" t="s">
        <v>17</v>
      </c>
      <c r="G737" s="1" t="s">
        <v>96</v>
      </c>
      <c r="H737" s="1" t="s">
        <v>36</v>
      </c>
      <c r="I737">
        <v>4</v>
      </c>
      <c r="J737">
        <v>45</v>
      </c>
      <c r="K737">
        <v>0.1</v>
      </c>
      <c r="L737">
        <v>162</v>
      </c>
      <c r="M737" s="1" t="s">
        <v>25</v>
      </c>
    </row>
    <row r="738" spans="1:13" x14ac:dyDescent="0.3">
      <c r="A738" s="1" t="s">
        <v>97</v>
      </c>
      <c r="B738" s="2">
        <v>46058</v>
      </c>
      <c r="C738" s="1" t="s">
        <v>94</v>
      </c>
      <c r="D738" s="1" t="s">
        <v>72</v>
      </c>
      <c r="E738" s="1" t="s">
        <v>73</v>
      </c>
      <c r="F738" s="1" t="s">
        <v>17</v>
      </c>
      <c r="G738" s="1" t="s">
        <v>96</v>
      </c>
      <c r="H738" s="1" t="s">
        <v>79</v>
      </c>
      <c r="I738">
        <v>4</v>
      </c>
      <c r="J738">
        <v>170</v>
      </c>
      <c r="K738">
        <v>0.05</v>
      </c>
      <c r="L738">
        <v>646</v>
      </c>
      <c r="M738" s="1" t="s">
        <v>33</v>
      </c>
    </row>
    <row r="739" spans="1:13" x14ac:dyDescent="0.3">
      <c r="A739" s="1" t="s">
        <v>97</v>
      </c>
      <c r="B739" s="2">
        <v>46073</v>
      </c>
      <c r="C739" s="1" t="s">
        <v>94</v>
      </c>
      <c r="D739" s="1" t="s">
        <v>47</v>
      </c>
      <c r="E739" s="1" t="s">
        <v>48</v>
      </c>
      <c r="F739" s="1" t="s">
        <v>45</v>
      </c>
      <c r="G739" s="1" t="s">
        <v>96</v>
      </c>
      <c r="H739" s="1" t="s">
        <v>52</v>
      </c>
      <c r="I739">
        <v>4</v>
      </c>
      <c r="J739">
        <v>85</v>
      </c>
      <c r="K739">
        <v>0</v>
      </c>
      <c r="L739">
        <v>340</v>
      </c>
      <c r="M739" s="1" t="s">
        <v>37</v>
      </c>
    </row>
    <row r="740" spans="1:13" x14ac:dyDescent="0.3">
      <c r="A740" s="1" t="s">
        <v>97</v>
      </c>
      <c r="B740" s="2">
        <v>46079</v>
      </c>
      <c r="C740" s="1" t="s">
        <v>94</v>
      </c>
      <c r="D740" s="1" t="s">
        <v>65</v>
      </c>
      <c r="E740" s="1" t="s">
        <v>66</v>
      </c>
      <c r="F740" s="1" t="s">
        <v>40</v>
      </c>
      <c r="G740" s="1" t="s">
        <v>95</v>
      </c>
      <c r="H740" s="1" t="s">
        <v>77</v>
      </c>
      <c r="I740">
        <v>3</v>
      </c>
      <c r="J740">
        <v>210</v>
      </c>
      <c r="K740">
        <v>0.05</v>
      </c>
      <c r="L740">
        <v>598.5</v>
      </c>
      <c r="M740" s="1" t="s">
        <v>20</v>
      </c>
    </row>
    <row r="741" spans="1:13" x14ac:dyDescent="0.3">
      <c r="A741" s="1" t="s">
        <v>97</v>
      </c>
      <c r="B741" s="2">
        <v>46074</v>
      </c>
      <c r="C741" s="1" t="s">
        <v>94</v>
      </c>
      <c r="D741" s="1" t="s">
        <v>21</v>
      </c>
      <c r="E741" s="1" t="s">
        <v>22</v>
      </c>
      <c r="F741" s="1" t="s">
        <v>23</v>
      </c>
      <c r="G741" s="1" t="s">
        <v>96</v>
      </c>
      <c r="H741" s="1" t="s">
        <v>53</v>
      </c>
      <c r="I741">
        <v>5</v>
      </c>
      <c r="J741">
        <v>220</v>
      </c>
      <c r="K741">
        <v>0</v>
      </c>
      <c r="L741">
        <v>1100</v>
      </c>
      <c r="M741" s="1" t="s">
        <v>37</v>
      </c>
    </row>
    <row r="742" spans="1:13" x14ac:dyDescent="0.3">
      <c r="A742" s="1" t="s">
        <v>97</v>
      </c>
      <c r="B742" s="2">
        <v>46070</v>
      </c>
      <c r="C742" s="1" t="s">
        <v>94</v>
      </c>
      <c r="D742" s="1" t="s">
        <v>54</v>
      </c>
      <c r="E742" s="1" t="s">
        <v>55</v>
      </c>
      <c r="F742" s="1" t="s">
        <v>23</v>
      </c>
      <c r="G742" s="1" t="s">
        <v>95</v>
      </c>
      <c r="H742" s="1" t="s">
        <v>56</v>
      </c>
      <c r="I742">
        <v>1</v>
      </c>
      <c r="J742">
        <v>75</v>
      </c>
      <c r="K742">
        <v>0</v>
      </c>
      <c r="L742">
        <v>75</v>
      </c>
      <c r="M742" s="1" t="s">
        <v>37</v>
      </c>
    </row>
    <row r="743" spans="1:13" x14ac:dyDescent="0.3">
      <c r="A743" s="1" t="s">
        <v>97</v>
      </c>
      <c r="B743" s="2">
        <v>46058</v>
      </c>
      <c r="C743" s="1" t="s">
        <v>94</v>
      </c>
      <c r="D743" s="1" t="s">
        <v>49</v>
      </c>
      <c r="E743" s="1" t="s">
        <v>50</v>
      </c>
      <c r="F743" s="1" t="s">
        <v>45</v>
      </c>
      <c r="G743" s="1" t="s">
        <v>96</v>
      </c>
      <c r="H743" s="1" t="s">
        <v>42</v>
      </c>
      <c r="I743">
        <v>5</v>
      </c>
      <c r="J743">
        <v>35</v>
      </c>
      <c r="K743">
        <v>0.05</v>
      </c>
      <c r="L743">
        <v>166.25</v>
      </c>
      <c r="M743" s="1" t="s">
        <v>25</v>
      </c>
    </row>
    <row r="744" spans="1:13" x14ac:dyDescent="0.3">
      <c r="A744" s="1" t="s">
        <v>97</v>
      </c>
      <c r="B744" s="2">
        <v>46077</v>
      </c>
      <c r="C744" s="1" t="s">
        <v>94</v>
      </c>
      <c r="D744" s="1" t="s">
        <v>34</v>
      </c>
      <c r="E744" s="1" t="s">
        <v>35</v>
      </c>
      <c r="F744" s="1" t="s">
        <v>28</v>
      </c>
      <c r="G744" s="1" t="s">
        <v>95</v>
      </c>
      <c r="H744" s="1" t="s">
        <v>53</v>
      </c>
      <c r="I744">
        <v>1</v>
      </c>
      <c r="J744">
        <v>120</v>
      </c>
      <c r="K744">
        <v>0</v>
      </c>
      <c r="L744">
        <v>120</v>
      </c>
      <c r="M744" s="1" t="s">
        <v>37</v>
      </c>
    </row>
    <row r="745" spans="1:13" x14ac:dyDescent="0.3">
      <c r="A745" s="1" t="s">
        <v>97</v>
      </c>
      <c r="B745" s="2">
        <v>46069</v>
      </c>
      <c r="C745" s="1" t="s">
        <v>94</v>
      </c>
      <c r="D745" s="1" t="s">
        <v>49</v>
      </c>
      <c r="E745" s="1" t="s">
        <v>50</v>
      </c>
      <c r="F745" s="1" t="s">
        <v>45</v>
      </c>
      <c r="G745" s="1" t="s">
        <v>95</v>
      </c>
      <c r="H745" s="1" t="s">
        <v>67</v>
      </c>
      <c r="I745">
        <v>5</v>
      </c>
      <c r="J745">
        <v>35</v>
      </c>
      <c r="K745">
        <v>0</v>
      </c>
      <c r="L745">
        <v>175</v>
      </c>
      <c r="M745" s="1" t="s">
        <v>37</v>
      </c>
    </row>
    <row r="746" spans="1:13" x14ac:dyDescent="0.3">
      <c r="A746" s="1" t="s">
        <v>97</v>
      </c>
      <c r="B746" s="2">
        <v>46076</v>
      </c>
      <c r="C746" s="1" t="s">
        <v>94</v>
      </c>
      <c r="D746" s="1" t="s">
        <v>34</v>
      </c>
      <c r="E746" s="1" t="s">
        <v>35</v>
      </c>
      <c r="F746" s="1" t="s">
        <v>28</v>
      </c>
      <c r="G746" s="1" t="s">
        <v>95</v>
      </c>
      <c r="H746" s="1" t="s">
        <v>87</v>
      </c>
      <c r="I746">
        <v>3</v>
      </c>
      <c r="J746">
        <v>120</v>
      </c>
      <c r="K746">
        <v>0</v>
      </c>
      <c r="L746">
        <v>360</v>
      </c>
      <c r="M746" s="1" t="s">
        <v>20</v>
      </c>
    </row>
    <row r="747" spans="1:13" x14ac:dyDescent="0.3">
      <c r="A747" s="1" t="s">
        <v>97</v>
      </c>
      <c r="B747" s="2">
        <v>46077</v>
      </c>
      <c r="C747" s="1" t="s">
        <v>94</v>
      </c>
      <c r="D747" s="1" t="s">
        <v>43</v>
      </c>
      <c r="E747" s="1" t="s">
        <v>44</v>
      </c>
      <c r="F747" s="1" t="s">
        <v>45</v>
      </c>
      <c r="G747" s="1" t="s">
        <v>95</v>
      </c>
      <c r="H747" s="1" t="s">
        <v>52</v>
      </c>
      <c r="I747">
        <v>2</v>
      </c>
      <c r="J747">
        <v>140</v>
      </c>
      <c r="K747">
        <v>0.1</v>
      </c>
      <c r="L747">
        <v>252</v>
      </c>
      <c r="M747" s="1" t="s">
        <v>33</v>
      </c>
    </row>
    <row r="748" spans="1:13" x14ac:dyDescent="0.3">
      <c r="A748" s="1" t="s">
        <v>97</v>
      </c>
      <c r="B748" s="2">
        <v>46061</v>
      </c>
      <c r="C748" s="1" t="s">
        <v>94</v>
      </c>
      <c r="D748" s="1" t="s">
        <v>34</v>
      </c>
      <c r="E748" s="1" t="s">
        <v>35</v>
      </c>
      <c r="F748" s="1" t="s">
        <v>28</v>
      </c>
      <c r="G748" s="1" t="s">
        <v>96</v>
      </c>
      <c r="H748" s="1" t="s">
        <v>83</v>
      </c>
      <c r="I748">
        <v>4</v>
      </c>
      <c r="J748">
        <v>120</v>
      </c>
      <c r="K748">
        <v>0.15</v>
      </c>
      <c r="L748">
        <v>408</v>
      </c>
      <c r="M748" s="1" t="s">
        <v>37</v>
      </c>
    </row>
    <row r="749" spans="1:13" x14ac:dyDescent="0.3">
      <c r="A749" s="1" t="s">
        <v>97</v>
      </c>
      <c r="B749" s="2">
        <v>46068</v>
      </c>
      <c r="C749" s="1" t="s">
        <v>94</v>
      </c>
      <c r="D749" s="1" t="s">
        <v>69</v>
      </c>
      <c r="E749" s="1" t="s">
        <v>70</v>
      </c>
      <c r="F749" s="1" t="s">
        <v>28</v>
      </c>
      <c r="G749" s="1" t="s">
        <v>96</v>
      </c>
      <c r="H749" s="1" t="s">
        <v>67</v>
      </c>
      <c r="I749">
        <v>5</v>
      </c>
      <c r="J749">
        <v>95</v>
      </c>
      <c r="K749">
        <v>0.1</v>
      </c>
      <c r="L749">
        <v>427.5</v>
      </c>
      <c r="M749" s="1" t="s">
        <v>33</v>
      </c>
    </row>
    <row r="750" spans="1:13" x14ac:dyDescent="0.3">
      <c r="A750" s="1" t="s">
        <v>97</v>
      </c>
      <c r="B750" s="2">
        <v>46079</v>
      </c>
      <c r="C750" s="1" t="s">
        <v>94</v>
      </c>
      <c r="D750" s="1" t="s">
        <v>21</v>
      </c>
      <c r="E750" s="1" t="s">
        <v>22</v>
      </c>
      <c r="F750" s="1" t="s">
        <v>23</v>
      </c>
      <c r="G750" s="1" t="s">
        <v>95</v>
      </c>
      <c r="H750" s="1" t="s">
        <v>51</v>
      </c>
      <c r="I750">
        <v>1</v>
      </c>
      <c r="J750">
        <v>220</v>
      </c>
      <c r="K750">
        <v>0.05</v>
      </c>
      <c r="L750">
        <v>209</v>
      </c>
      <c r="M750" s="1" t="s">
        <v>37</v>
      </c>
    </row>
    <row r="751" spans="1:13" x14ac:dyDescent="0.3">
      <c r="A751" s="1" t="s">
        <v>97</v>
      </c>
      <c r="B751" s="2">
        <v>46074</v>
      </c>
      <c r="C751" s="1" t="s">
        <v>94</v>
      </c>
      <c r="D751" s="1" t="s">
        <v>54</v>
      </c>
      <c r="E751" s="1" t="s">
        <v>55</v>
      </c>
      <c r="F751" s="1" t="s">
        <v>23</v>
      </c>
      <c r="G751" s="1" t="s">
        <v>96</v>
      </c>
      <c r="H751" s="1" t="s">
        <v>74</v>
      </c>
      <c r="I751">
        <v>4</v>
      </c>
      <c r="J751">
        <v>75</v>
      </c>
      <c r="K751">
        <v>0</v>
      </c>
      <c r="L751">
        <v>300</v>
      </c>
      <c r="M751" s="1" t="s">
        <v>37</v>
      </c>
    </row>
    <row r="752" spans="1:13" x14ac:dyDescent="0.3">
      <c r="A752" s="1" t="s">
        <v>97</v>
      </c>
      <c r="B752" s="2">
        <v>46068</v>
      </c>
      <c r="C752" s="1" t="s">
        <v>94</v>
      </c>
      <c r="D752" s="1" t="s">
        <v>38</v>
      </c>
      <c r="E752" s="1" t="s">
        <v>39</v>
      </c>
      <c r="F752" s="1" t="s">
        <v>40</v>
      </c>
      <c r="G752" s="1" t="s">
        <v>95</v>
      </c>
      <c r="H752" s="1" t="s">
        <v>67</v>
      </c>
      <c r="I752">
        <v>3</v>
      </c>
      <c r="J752">
        <v>55</v>
      </c>
      <c r="K752">
        <v>0</v>
      </c>
      <c r="L752">
        <v>165</v>
      </c>
      <c r="M752" s="1" t="s">
        <v>20</v>
      </c>
    </row>
    <row r="753" spans="1:13" x14ac:dyDescent="0.3">
      <c r="A753" s="1" t="s">
        <v>97</v>
      </c>
      <c r="B753" s="2">
        <v>46058</v>
      </c>
      <c r="C753" s="1" t="s">
        <v>94</v>
      </c>
      <c r="D753" s="1" t="s">
        <v>15</v>
      </c>
      <c r="E753" s="1" t="s">
        <v>16</v>
      </c>
      <c r="F753" s="1" t="s">
        <v>17</v>
      </c>
      <c r="G753" s="1" t="s">
        <v>96</v>
      </c>
      <c r="H753" s="1" t="s">
        <v>32</v>
      </c>
      <c r="I753">
        <v>5</v>
      </c>
      <c r="J753">
        <v>60</v>
      </c>
      <c r="K753">
        <v>0</v>
      </c>
      <c r="L753">
        <v>300</v>
      </c>
      <c r="M753" s="1" t="s">
        <v>25</v>
      </c>
    </row>
    <row r="754" spans="1:13" x14ac:dyDescent="0.3">
      <c r="A754" s="1" t="s">
        <v>97</v>
      </c>
      <c r="B754" s="2">
        <v>46067</v>
      </c>
      <c r="C754" s="1" t="s">
        <v>94</v>
      </c>
      <c r="D754" s="1" t="s">
        <v>21</v>
      </c>
      <c r="E754" s="1" t="s">
        <v>22</v>
      </c>
      <c r="F754" s="1" t="s">
        <v>23</v>
      </c>
      <c r="G754" s="1" t="s">
        <v>95</v>
      </c>
      <c r="H754" s="1" t="s">
        <v>78</v>
      </c>
      <c r="I754">
        <v>2</v>
      </c>
      <c r="J754">
        <v>220</v>
      </c>
      <c r="K754">
        <v>0</v>
      </c>
      <c r="L754">
        <v>440</v>
      </c>
      <c r="M754" s="1" t="s">
        <v>33</v>
      </c>
    </row>
    <row r="755" spans="1:13" x14ac:dyDescent="0.3">
      <c r="A755" s="1" t="s">
        <v>97</v>
      </c>
      <c r="B755" s="2">
        <v>46074</v>
      </c>
      <c r="C755" s="1" t="s">
        <v>94</v>
      </c>
      <c r="D755" s="1" t="s">
        <v>65</v>
      </c>
      <c r="E755" s="1" t="s">
        <v>66</v>
      </c>
      <c r="F755" s="1" t="s">
        <v>40</v>
      </c>
      <c r="G755" s="1" t="s">
        <v>95</v>
      </c>
      <c r="H755" s="1" t="s">
        <v>42</v>
      </c>
      <c r="I755">
        <v>5</v>
      </c>
      <c r="J755">
        <v>210</v>
      </c>
      <c r="K755">
        <v>0.05</v>
      </c>
      <c r="L755">
        <v>997.5</v>
      </c>
      <c r="M755" s="1" t="s">
        <v>20</v>
      </c>
    </row>
    <row r="756" spans="1:13" x14ac:dyDescent="0.3">
      <c r="A756" s="1" t="s">
        <v>97</v>
      </c>
      <c r="B756" s="2">
        <v>46073</v>
      </c>
      <c r="C756" s="1" t="s">
        <v>94</v>
      </c>
      <c r="D756" s="1" t="s">
        <v>54</v>
      </c>
      <c r="E756" s="1" t="s">
        <v>55</v>
      </c>
      <c r="F756" s="1" t="s">
        <v>23</v>
      </c>
      <c r="G756" s="1" t="s">
        <v>95</v>
      </c>
      <c r="H756" s="1" t="s">
        <v>29</v>
      </c>
      <c r="I756">
        <v>3</v>
      </c>
      <c r="J756">
        <v>75</v>
      </c>
      <c r="K756">
        <v>0.1</v>
      </c>
      <c r="L756">
        <v>202.5</v>
      </c>
      <c r="M756" s="1" t="s">
        <v>37</v>
      </c>
    </row>
    <row r="757" spans="1:13" x14ac:dyDescent="0.3">
      <c r="A757" s="1" t="s">
        <v>97</v>
      </c>
      <c r="B757" s="2">
        <v>46070</v>
      </c>
      <c r="C757" s="1" t="s">
        <v>94</v>
      </c>
      <c r="D757" s="1" t="s">
        <v>54</v>
      </c>
      <c r="E757" s="1" t="s">
        <v>55</v>
      </c>
      <c r="F757" s="1" t="s">
        <v>23</v>
      </c>
      <c r="G757" s="1" t="s">
        <v>96</v>
      </c>
      <c r="H757" s="1" t="s">
        <v>42</v>
      </c>
      <c r="I757">
        <v>4</v>
      </c>
      <c r="J757">
        <v>75</v>
      </c>
      <c r="K757">
        <v>0.15</v>
      </c>
      <c r="L757">
        <v>255</v>
      </c>
      <c r="M757" s="1" t="s">
        <v>37</v>
      </c>
    </row>
    <row r="758" spans="1:13" x14ac:dyDescent="0.3">
      <c r="A758" s="1" t="s">
        <v>97</v>
      </c>
      <c r="B758" s="2">
        <v>46056</v>
      </c>
      <c r="C758" s="1" t="s">
        <v>94</v>
      </c>
      <c r="D758" s="1" t="s">
        <v>47</v>
      </c>
      <c r="E758" s="1" t="s">
        <v>48</v>
      </c>
      <c r="F758" s="1" t="s">
        <v>45</v>
      </c>
      <c r="G758" s="1" t="s">
        <v>95</v>
      </c>
      <c r="H758" s="1" t="s">
        <v>77</v>
      </c>
      <c r="I758">
        <v>4</v>
      </c>
      <c r="J758">
        <v>85</v>
      </c>
      <c r="K758">
        <v>0</v>
      </c>
      <c r="L758">
        <v>340</v>
      </c>
      <c r="M758" s="1" t="s">
        <v>20</v>
      </c>
    </row>
    <row r="759" spans="1:13" x14ac:dyDescent="0.3">
      <c r="A759" s="1" t="s">
        <v>97</v>
      </c>
      <c r="B759" s="2">
        <v>46059</v>
      </c>
      <c r="C759" s="1" t="s">
        <v>94</v>
      </c>
      <c r="D759" s="1" t="s">
        <v>30</v>
      </c>
      <c r="E759" s="1" t="s">
        <v>31</v>
      </c>
      <c r="F759" s="1" t="s">
        <v>23</v>
      </c>
      <c r="G759" s="1" t="s">
        <v>96</v>
      </c>
      <c r="H759" s="1" t="s">
        <v>80</v>
      </c>
      <c r="I759">
        <v>2</v>
      </c>
      <c r="J759">
        <v>2800</v>
      </c>
      <c r="K759">
        <v>0</v>
      </c>
      <c r="L759">
        <v>5600</v>
      </c>
      <c r="M759" s="1" t="s">
        <v>37</v>
      </c>
    </row>
    <row r="760" spans="1:13" x14ac:dyDescent="0.3">
      <c r="A760" s="1" t="s">
        <v>97</v>
      </c>
      <c r="B760" s="2">
        <v>46062</v>
      </c>
      <c r="C760" s="1" t="s">
        <v>94</v>
      </c>
      <c r="D760" s="1" t="s">
        <v>65</v>
      </c>
      <c r="E760" s="1" t="s">
        <v>66</v>
      </c>
      <c r="F760" s="1" t="s">
        <v>40</v>
      </c>
      <c r="G760" s="1" t="s">
        <v>96</v>
      </c>
      <c r="H760" s="1" t="s">
        <v>80</v>
      </c>
      <c r="I760">
        <v>1</v>
      </c>
      <c r="J760">
        <v>210</v>
      </c>
      <c r="K760">
        <v>0.05</v>
      </c>
      <c r="L760">
        <v>199.5</v>
      </c>
      <c r="M760" s="1" t="s">
        <v>25</v>
      </c>
    </row>
    <row r="761" spans="1:13" x14ac:dyDescent="0.3">
      <c r="A761" s="1" t="s">
        <v>97</v>
      </c>
      <c r="B761" s="2">
        <v>46067</v>
      </c>
      <c r="C761" s="1" t="s">
        <v>94</v>
      </c>
      <c r="D761" s="1" t="s">
        <v>49</v>
      </c>
      <c r="E761" s="1" t="s">
        <v>50</v>
      </c>
      <c r="F761" s="1" t="s">
        <v>45</v>
      </c>
      <c r="G761" s="1" t="s">
        <v>95</v>
      </c>
      <c r="H761" s="1" t="s">
        <v>75</v>
      </c>
      <c r="I761">
        <v>4</v>
      </c>
      <c r="J761">
        <v>35</v>
      </c>
      <c r="K761">
        <v>0</v>
      </c>
      <c r="L761">
        <v>140</v>
      </c>
      <c r="M761" s="1" t="s">
        <v>33</v>
      </c>
    </row>
    <row r="762" spans="1:13" x14ac:dyDescent="0.3">
      <c r="A762" s="1" t="s">
        <v>97</v>
      </c>
      <c r="B762" s="2">
        <v>46065</v>
      </c>
      <c r="C762" s="1" t="s">
        <v>94</v>
      </c>
      <c r="D762" s="1" t="s">
        <v>34</v>
      </c>
      <c r="E762" s="1" t="s">
        <v>35</v>
      </c>
      <c r="F762" s="1" t="s">
        <v>28</v>
      </c>
      <c r="G762" s="1" t="s">
        <v>95</v>
      </c>
      <c r="H762" s="1" t="s">
        <v>76</v>
      </c>
      <c r="I762">
        <v>1</v>
      </c>
      <c r="J762">
        <v>120</v>
      </c>
      <c r="K762">
        <v>0</v>
      </c>
      <c r="L762">
        <v>120</v>
      </c>
      <c r="M762" s="1" t="s">
        <v>33</v>
      </c>
    </row>
    <row r="763" spans="1:13" x14ac:dyDescent="0.3">
      <c r="A763" s="1" t="s">
        <v>97</v>
      </c>
      <c r="B763" s="2">
        <v>46081</v>
      </c>
      <c r="C763" s="1" t="s">
        <v>94</v>
      </c>
      <c r="D763" s="1" t="s">
        <v>21</v>
      </c>
      <c r="E763" s="1" t="s">
        <v>22</v>
      </c>
      <c r="F763" s="1" t="s">
        <v>23</v>
      </c>
      <c r="G763" s="1" t="s">
        <v>96</v>
      </c>
      <c r="H763" s="1" t="s">
        <v>24</v>
      </c>
      <c r="I763">
        <v>5</v>
      </c>
      <c r="J763">
        <v>220</v>
      </c>
      <c r="K763">
        <v>0.05</v>
      </c>
      <c r="L763">
        <v>1045</v>
      </c>
      <c r="M763" s="1" t="s">
        <v>33</v>
      </c>
    </row>
    <row r="764" spans="1:13" x14ac:dyDescent="0.3">
      <c r="A764" s="1" t="s">
        <v>97</v>
      </c>
      <c r="B764" s="2">
        <v>46071</v>
      </c>
      <c r="C764" s="1" t="s">
        <v>94</v>
      </c>
      <c r="D764" s="1" t="s">
        <v>49</v>
      </c>
      <c r="E764" s="1" t="s">
        <v>50</v>
      </c>
      <c r="F764" s="1" t="s">
        <v>45</v>
      </c>
      <c r="G764" s="1" t="s">
        <v>96</v>
      </c>
      <c r="H764" s="1" t="s">
        <v>83</v>
      </c>
      <c r="I764">
        <v>1</v>
      </c>
      <c r="J764">
        <v>35</v>
      </c>
      <c r="K764">
        <v>0.05</v>
      </c>
      <c r="L764">
        <v>33.25</v>
      </c>
      <c r="M764" s="1" t="s">
        <v>20</v>
      </c>
    </row>
    <row r="765" spans="1:13" x14ac:dyDescent="0.3">
      <c r="A765" s="1" t="s">
        <v>97</v>
      </c>
      <c r="B765" s="2">
        <v>46062</v>
      </c>
      <c r="C765" s="1" t="s">
        <v>94</v>
      </c>
      <c r="D765" s="1" t="s">
        <v>57</v>
      </c>
      <c r="E765" s="1" t="s">
        <v>58</v>
      </c>
      <c r="F765" s="1" t="s">
        <v>17</v>
      </c>
      <c r="G765" s="1" t="s">
        <v>95</v>
      </c>
      <c r="H765" s="1" t="s">
        <v>80</v>
      </c>
      <c r="I765">
        <v>3</v>
      </c>
      <c r="J765">
        <v>45</v>
      </c>
      <c r="K765">
        <v>0</v>
      </c>
      <c r="L765">
        <v>135</v>
      </c>
      <c r="M765" s="1" t="s">
        <v>37</v>
      </c>
    </row>
    <row r="766" spans="1:13" x14ac:dyDescent="0.3">
      <c r="A766" s="1" t="s">
        <v>97</v>
      </c>
      <c r="B766" s="2">
        <v>46058</v>
      </c>
      <c r="C766" s="1" t="s">
        <v>94</v>
      </c>
      <c r="D766" s="1" t="s">
        <v>15</v>
      </c>
      <c r="E766" s="1" t="s">
        <v>16</v>
      </c>
      <c r="F766" s="1" t="s">
        <v>17</v>
      </c>
      <c r="G766" s="1" t="s">
        <v>95</v>
      </c>
      <c r="H766" s="1" t="s">
        <v>67</v>
      </c>
      <c r="I766">
        <v>3</v>
      </c>
      <c r="J766">
        <v>60</v>
      </c>
      <c r="K766">
        <v>0.1</v>
      </c>
      <c r="L766">
        <v>162</v>
      </c>
      <c r="M766" s="1" t="s">
        <v>20</v>
      </c>
    </row>
    <row r="767" spans="1:13" x14ac:dyDescent="0.3">
      <c r="A767" s="1" t="s">
        <v>97</v>
      </c>
      <c r="B767" s="2">
        <v>46072</v>
      </c>
      <c r="C767" s="1" t="s">
        <v>94</v>
      </c>
      <c r="D767" s="1" t="s">
        <v>72</v>
      </c>
      <c r="E767" s="1" t="s">
        <v>73</v>
      </c>
      <c r="F767" s="1" t="s">
        <v>17</v>
      </c>
      <c r="G767" s="1" t="s">
        <v>96</v>
      </c>
      <c r="H767" s="1" t="s">
        <v>56</v>
      </c>
      <c r="I767">
        <v>4</v>
      </c>
      <c r="J767">
        <v>170</v>
      </c>
      <c r="K767">
        <v>0</v>
      </c>
      <c r="L767">
        <v>680</v>
      </c>
      <c r="M767" s="1" t="s">
        <v>37</v>
      </c>
    </row>
    <row r="768" spans="1:13" x14ac:dyDescent="0.3">
      <c r="A768" s="1" t="s">
        <v>97</v>
      </c>
      <c r="B768" s="2">
        <v>46077</v>
      </c>
      <c r="C768" s="1" t="s">
        <v>94</v>
      </c>
      <c r="D768" s="1" t="s">
        <v>30</v>
      </c>
      <c r="E768" s="1" t="s">
        <v>31</v>
      </c>
      <c r="F768" s="1" t="s">
        <v>23</v>
      </c>
      <c r="G768" s="1" t="s">
        <v>96</v>
      </c>
      <c r="H768" s="1" t="s">
        <v>81</v>
      </c>
      <c r="I768">
        <v>1</v>
      </c>
      <c r="J768">
        <v>2800</v>
      </c>
      <c r="K768">
        <v>0</v>
      </c>
      <c r="L768">
        <v>2800</v>
      </c>
      <c r="M768" s="1" t="s">
        <v>20</v>
      </c>
    </row>
    <row r="769" spans="1:13" x14ac:dyDescent="0.3">
      <c r="A769" s="1" t="s">
        <v>97</v>
      </c>
      <c r="B769" s="2">
        <v>46054</v>
      </c>
      <c r="C769" s="1" t="s">
        <v>94</v>
      </c>
      <c r="D769" s="1" t="s">
        <v>61</v>
      </c>
      <c r="E769" s="1" t="s">
        <v>62</v>
      </c>
      <c r="F769" s="1" t="s">
        <v>40</v>
      </c>
      <c r="G769" s="1" t="s">
        <v>95</v>
      </c>
      <c r="H769" s="1" t="s">
        <v>60</v>
      </c>
      <c r="I769">
        <v>4</v>
      </c>
      <c r="J769">
        <v>160</v>
      </c>
      <c r="K769">
        <v>0</v>
      </c>
      <c r="L769">
        <v>640</v>
      </c>
      <c r="M769" s="1" t="s">
        <v>20</v>
      </c>
    </row>
    <row r="770" spans="1:13" x14ac:dyDescent="0.3">
      <c r="A770" s="1" t="s">
        <v>97</v>
      </c>
      <c r="B770" s="2">
        <v>46067</v>
      </c>
      <c r="C770" s="1" t="s">
        <v>94</v>
      </c>
      <c r="D770" s="1" t="s">
        <v>72</v>
      </c>
      <c r="E770" s="1" t="s">
        <v>73</v>
      </c>
      <c r="F770" s="1" t="s">
        <v>17</v>
      </c>
      <c r="G770" s="1" t="s">
        <v>95</v>
      </c>
      <c r="H770" s="1" t="s">
        <v>53</v>
      </c>
      <c r="I770">
        <v>5</v>
      </c>
      <c r="J770">
        <v>170</v>
      </c>
      <c r="K770">
        <v>0</v>
      </c>
      <c r="L770">
        <v>850</v>
      </c>
      <c r="M770" s="1" t="s">
        <v>20</v>
      </c>
    </row>
    <row r="771" spans="1:13" x14ac:dyDescent="0.3">
      <c r="A771" s="1" t="s">
        <v>97</v>
      </c>
      <c r="B771" s="2">
        <v>46081</v>
      </c>
      <c r="C771" s="1" t="s">
        <v>94</v>
      </c>
      <c r="D771" s="1" t="s">
        <v>34</v>
      </c>
      <c r="E771" s="1" t="s">
        <v>35</v>
      </c>
      <c r="F771" s="1" t="s">
        <v>28</v>
      </c>
      <c r="G771" s="1" t="s">
        <v>96</v>
      </c>
      <c r="H771" s="1" t="s">
        <v>81</v>
      </c>
      <c r="I771">
        <v>5</v>
      </c>
      <c r="J771">
        <v>120</v>
      </c>
      <c r="K771">
        <v>0</v>
      </c>
      <c r="L771">
        <v>600</v>
      </c>
      <c r="M771" s="1" t="s">
        <v>25</v>
      </c>
    </row>
    <row r="772" spans="1:13" x14ac:dyDescent="0.3">
      <c r="A772" s="1" t="s">
        <v>97</v>
      </c>
      <c r="B772" s="2">
        <v>46081</v>
      </c>
      <c r="C772" s="1" t="s">
        <v>94</v>
      </c>
      <c r="D772" s="1" t="s">
        <v>30</v>
      </c>
      <c r="E772" s="1" t="s">
        <v>31</v>
      </c>
      <c r="F772" s="1" t="s">
        <v>23</v>
      </c>
      <c r="G772" s="1" t="s">
        <v>95</v>
      </c>
      <c r="H772" s="1" t="s">
        <v>29</v>
      </c>
      <c r="I772">
        <v>4</v>
      </c>
      <c r="J772">
        <v>2800</v>
      </c>
      <c r="K772">
        <v>0</v>
      </c>
      <c r="L772">
        <v>11200</v>
      </c>
      <c r="M772" s="1" t="s">
        <v>37</v>
      </c>
    </row>
    <row r="773" spans="1:13" x14ac:dyDescent="0.3">
      <c r="A773" s="1" t="s">
        <v>97</v>
      </c>
      <c r="B773" s="2">
        <v>46063</v>
      </c>
      <c r="C773" s="1" t="s">
        <v>94</v>
      </c>
      <c r="D773" s="1" t="s">
        <v>21</v>
      </c>
      <c r="E773" s="1" t="s">
        <v>22</v>
      </c>
      <c r="F773" s="1" t="s">
        <v>23</v>
      </c>
      <c r="G773" s="1" t="s">
        <v>95</v>
      </c>
      <c r="H773" s="1" t="s">
        <v>81</v>
      </c>
      <c r="I773">
        <v>2</v>
      </c>
      <c r="J773">
        <v>220</v>
      </c>
      <c r="K773">
        <v>0.1</v>
      </c>
      <c r="L773">
        <v>396</v>
      </c>
      <c r="M773" s="1" t="s">
        <v>20</v>
      </c>
    </row>
    <row r="774" spans="1:13" x14ac:dyDescent="0.3">
      <c r="A774" s="1" t="s">
        <v>97</v>
      </c>
      <c r="B774" s="2">
        <v>46065</v>
      </c>
      <c r="C774" s="1" t="s">
        <v>94</v>
      </c>
      <c r="D774" s="1" t="s">
        <v>54</v>
      </c>
      <c r="E774" s="1" t="s">
        <v>55</v>
      </c>
      <c r="F774" s="1" t="s">
        <v>23</v>
      </c>
      <c r="G774" s="1" t="s">
        <v>95</v>
      </c>
      <c r="H774" s="1" t="s">
        <v>75</v>
      </c>
      <c r="I774">
        <v>3</v>
      </c>
      <c r="J774">
        <v>75</v>
      </c>
      <c r="K774">
        <v>0</v>
      </c>
      <c r="L774">
        <v>225</v>
      </c>
      <c r="M774" s="1" t="s">
        <v>20</v>
      </c>
    </row>
    <row r="775" spans="1:13" x14ac:dyDescent="0.3">
      <c r="A775" s="1" t="s">
        <v>97</v>
      </c>
      <c r="B775" s="2">
        <v>46056</v>
      </c>
      <c r="C775" s="1" t="s">
        <v>94</v>
      </c>
      <c r="D775" s="1" t="s">
        <v>47</v>
      </c>
      <c r="E775" s="1" t="s">
        <v>48</v>
      </c>
      <c r="F775" s="1" t="s">
        <v>45</v>
      </c>
      <c r="G775" s="1" t="s">
        <v>95</v>
      </c>
      <c r="H775" s="1" t="s">
        <v>87</v>
      </c>
      <c r="I775">
        <v>2</v>
      </c>
      <c r="J775">
        <v>85</v>
      </c>
      <c r="K775">
        <v>0</v>
      </c>
      <c r="L775">
        <v>170</v>
      </c>
      <c r="M775" s="1" t="s">
        <v>37</v>
      </c>
    </row>
    <row r="776" spans="1:13" x14ac:dyDescent="0.3">
      <c r="A776" s="1" t="s">
        <v>97</v>
      </c>
      <c r="B776" s="2">
        <v>46075</v>
      </c>
      <c r="C776" s="1" t="s">
        <v>94</v>
      </c>
      <c r="D776" s="1" t="s">
        <v>54</v>
      </c>
      <c r="E776" s="1" t="s">
        <v>55</v>
      </c>
      <c r="F776" s="1" t="s">
        <v>23</v>
      </c>
      <c r="G776" s="1" t="s">
        <v>96</v>
      </c>
      <c r="H776" s="1" t="s">
        <v>87</v>
      </c>
      <c r="I776">
        <v>5</v>
      </c>
      <c r="J776">
        <v>75</v>
      </c>
      <c r="K776">
        <v>0</v>
      </c>
      <c r="L776">
        <v>375</v>
      </c>
      <c r="M776" s="1" t="s">
        <v>20</v>
      </c>
    </row>
    <row r="777" spans="1:13" x14ac:dyDescent="0.3">
      <c r="A777" s="1" t="s">
        <v>97</v>
      </c>
      <c r="B777" s="2">
        <v>46069</v>
      </c>
      <c r="C777" s="1" t="s">
        <v>94</v>
      </c>
      <c r="D777" s="1" t="s">
        <v>72</v>
      </c>
      <c r="E777" s="1" t="s">
        <v>73</v>
      </c>
      <c r="F777" s="1" t="s">
        <v>17</v>
      </c>
      <c r="G777" s="1" t="s">
        <v>95</v>
      </c>
      <c r="H777" s="1" t="s">
        <v>19</v>
      </c>
      <c r="I777">
        <v>4</v>
      </c>
      <c r="J777">
        <v>170</v>
      </c>
      <c r="K777">
        <v>0.05</v>
      </c>
      <c r="L777">
        <v>646</v>
      </c>
      <c r="M777" s="1" t="s">
        <v>25</v>
      </c>
    </row>
    <row r="778" spans="1:13" x14ac:dyDescent="0.3">
      <c r="A778" s="1" t="s">
        <v>97</v>
      </c>
      <c r="B778" s="2">
        <v>46058</v>
      </c>
      <c r="C778" s="1" t="s">
        <v>94</v>
      </c>
      <c r="D778" s="1" t="s">
        <v>54</v>
      </c>
      <c r="E778" s="1" t="s">
        <v>55</v>
      </c>
      <c r="F778" s="1" t="s">
        <v>23</v>
      </c>
      <c r="G778" s="1" t="s">
        <v>96</v>
      </c>
      <c r="H778" s="1" t="s">
        <v>80</v>
      </c>
      <c r="I778">
        <v>3</v>
      </c>
      <c r="J778">
        <v>75</v>
      </c>
      <c r="K778">
        <v>0.1</v>
      </c>
      <c r="L778">
        <v>202.5</v>
      </c>
      <c r="M778" s="1" t="s">
        <v>33</v>
      </c>
    </row>
    <row r="779" spans="1:13" x14ac:dyDescent="0.3">
      <c r="A779" s="1" t="s">
        <v>97</v>
      </c>
      <c r="B779" s="2">
        <v>46072</v>
      </c>
      <c r="C779" s="1" t="s">
        <v>94</v>
      </c>
      <c r="D779" s="1" t="s">
        <v>43</v>
      </c>
      <c r="E779" s="1" t="s">
        <v>44</v>
      </c>
      <c r="F779" s="1" t="s">
        <v>45</v>
      </c>
      <c r="G779" s="1" t="s">
        <v>95</v>
      </c>
      <c r="H779" s="1" t="s">
        <v>83</v>
      </c>
      <c r="I779">
        <v>2</v>
      </c>
      <c r="J779">
        <v>140</v>
      </c>
      <c r="K779">
        <v>0</v>
      </c>
      <c r="L779">
        <v>280</v>
      </c>
      <c r="M779" s="1" t="s">
        <v>37</v>
      </c>
    </row>
    <row r="780" spans="1:13" x14ac:dyDescent="0.3">
      <c r="A780" s="1" t="s">
        <v>97</v>
      </c>
      <c r="B780" s="2">
        <v>46058</v>
      </c>
      <c r="C780" s="1" t="s">
        <v>94</v>
      </c>
      <c r="D780" s="1" t="s">
        <v>69</v>
      </c>
      <c r="E780" s="1" t="s">
        <v>70</v>
      </c>
      <c r="F780" s="1" t="s">
        <v>28</v>
      </c>
      <c r="G780" s="1" t="s">
        <v>96</v>
      </c>
      <c r="H780" s="1" t="s">
        <v>60</v>
      </c>
      <c r="I780">
        <v>2</v>
      </c>
      <c r="J780">
        <v>95</v>
      </c>
      <c r="K780">
        <v>0.05</v>
      </c>
      <c r="L780">
        <v>180.5</v>
      </c>
      <c r="M780" s="1" t="s">
        <v>33</v>
      </c>
    </row>
    <row r="781" spans="1:13" x14ac:dyDescent="0.3">
      <c r="A781" s="1" t="s">
        <v>97</v>
      </c>
      <c r="B781" s="2">
        <v>46057</v>
      </c>
      <c r="C781" s="1" t="s">
        <v>94</v>
      </c>
      <c r="D781" s="1" t="s">
        <v>54</v>
      </c>
      <c r="E781" s="1" t="s">
        <v>55</v>
      </c>
      <c r="F781" s="1" t="s">
        <v>23</v>
      </c>
      <c r="G781" s="1" t="s">
        <v>96</v>
      </c>
      <c r="H781" s="1" t="s">
        <v>78</v>
      </c>
      <c r="I781">
        <v>1</v>
      </c>
      <c r="J781">
        <v>75</v>
      </c>
      <c r="K781">
        <v>0</v>
      </c>
      <c r="L781">
        <v>75</v>
      </c>
      <c r="M781" s="1" t="s">
        <v>20</v>
      </c>
    </row>
    <row r="782" spans="1:13" x14ac:dyDescent="0.3">
      <c r="A782" s="1" t="s">
        <v>97</v>
      </c>
      <c r="B782" s="2">
        <v>46056</v>
      </c>
      <c r="C782" s="1" t="s">
        <v>94</v>
      </c>
      <c r="D782" s="1" t="s">
        <v>49</v>
      </c>
      <c r="E782" s="1" t="s">
        <v>50</v>
      </c>
      <c r="F782" s="1" t="s">
        <v>45</v>
      </c>
      <c r="G782" s="1" t="s">
        <v>95</v>
      </c>
      <c r="H782" s="1" t="s">
        <v>74</v>
      </c>
      <c r="I782">
        <v>2</v>
      </c>
      <c r="J782">
        <v>35</v>
      </c>
      <c r="K782">
        <v>0</v>
      </c>
      <c r="L782">
        <v>70</v>
      </c>
      <c r="M782" s="1" t="s">
        <v>20</v>
      </c>
    </row>
    <row r="783" spans="1:13" x14ac:dyDescent="0.3">
      <c r="A783" s="1" t="s">
        <v>97</v>
      </c>
      <c r="B783" s="2">
        <v>46075</v>
      </c>
      <c r="C783" s="1" t="s">
        <v>94</v>
      </c>
      <c r="D783" s="1" t="s">
        <v>49</v>
      </c>
      <c r="E783" s="1" t="s">
        <v>50</v>
      </c>
      <c r="F783" s="1" t="s">
        <v>45</v>
      </c>
      <c r="G783" s="1" t="s">
        <v>96</v>
      </c>
      <c r="H783" s="1" t="s">
        <v>74</v>
      </c>
      <c r="I783">
        <v>1</v>
      </c>
      <c r="J783">
        <v>35</v>
      </c>
      <c r="K783">
        <v>0.1</v>
      </c>
      <c r="L783">
        <v>31.5</v>
      </c>
      <c r="M783" s="1" t="s">
        <v>33</v>
      </c>
    </row>
    <row r="784" spans="1:13" x14ac:dyDescent="0.3">
      <c r="A784" s="1" t="s">
        <v>97</v>
      </c>
      <c r="B784" s="2">
        <v>46079</v>
      </c>
      <c r="C784" s="1" t="s">
        <v>94</v>
      </c>
      <c r="D784" s="1" t="s">
        <v>47</v>
      </c>
      <c r="E784" s="1" t="s">
        <v>48</v>
      </c>
      <c r="F784" s="1" t="s">
        <v>45</v>
      </c>
      <c r="G784" s="1" t="s">
        <v>95</v>
      </c>
      <c r="H784" s="1" t="s">
        <v>76</v>
      </c>
      <c r="I784">
        <v>3</v>
      </c>
      <c r="J784">
        <v>85</v>
      </c>
      <c r="K784">
        <v>0.05</v>
      </c>
      <c r="L784">
        <v>242.25</v>
      </c>
      <c r="M784" s="1" t="s">
        <v>33</v>
      </c>
    </row>
    <row r="785" spans="1:13" x14ac:dyDescent="0.3">
      <c r="A785" s="1" t="s">
        <v>97</v>
      </c>
      <c r="B785" s="2">
        <v>46054</v>
      </c>
      <c r="C785" s="1" t="s">
        <v>94</v>
      </c>
      <c r="D785" s="1" t="s">
        <v>65</v>
      </c>
      <c r="E785" s="1" t="s">
        <v>66</v>
      </c>
      <c r="F785" s="1" t="s">
        <v>40</v>
      </c>
      <c r="G785" s="1" t="s">
        <v>96</v>
      </c>
      <c r="H785" s="1" t="s">
        <v>24</v>
      </c>
      <c r="I785">
        <v>5</v>
      </c>
      <c r="J785">
        <v>210</v>
      </c>
      <c r="K785">
        <v>0</v>
      </c>
      <c r="L785">
        <v>1050</v>
      </c>
      <c r="M785" s="1" t="s">
        <v>37</v>
      </c>
    </row>
    <row r="786" spans="1:13" x14ac:dyDescent="0.3">
      <c r="A786" s="1" t="s">
        <v>97</v>
      </c>
      <c r="B786" s="2">
        <v>46071</v>
      </c>
      <c r="C786" s="1" t="s">
        <v>94</v>
      </c>
      <c r="D786" s="1" t="s">
        <v>72</v>
      </c>
      <c r="E786" s="1" t="s">
        <v>73</v>
      </c>
      <c r="F786" s="1" t="s">
        <v>17</v>
      </c>
      <c r="G786" s="1" t="s">
        <v>95</v>
      </c>
      <c r="H786" s="1" t="s">
        <v>80</v>
      </c>
      <c r="I786">
        <v>5</v>
      </c>
      <c r="J786">
        <v>170</v>
      </c>
      <c r="K786">
        <v>0</v>
      </c>
      <c r="L786">
        <v>850</v>
      </c>
      <c r="M786" s="1" t="s">
        <v>25</v>
      </c>
    </row>
    <row r="787" spans="1:13" x14ac:dyDescent="0.3">
      <c r="A787" s="1" t="s">
        <v>97</v>
      </c>
      <c r="B787" s="2">
        <v>46060</v>
      </c>
      <c r="C787" s="1" t="s">
        <v>94</v>
      </c>
      <c r="D787" s="1" t="s">
        <v>30</v>
      </c>
      <c r="E787" s="1" t="s">
        <v>31</v>
      </c>
      <c r="F787" s="1" t="s">
        <v>23</v>
      </c>
      <c r="G787" s="1" t="s">
        <v>95</v>
      </c>
      <c r="H787" s="1" t="s">
        <v>63</v>
      </c>
      <c r="I787">
        <v>1</v>
      </c>
      <c r="J787">
        <v>2800</v>
      </c>
      <c r="K787">
        <v>0</v>
      </c>
      <c r="L787">
        <v>2800</v>
      </c>
      <c r="M787" s="1" t="s">
        <v>37</v>
      </c>
    </row>
    <row r="788" spans="1:13" x14ac:dyDescent="0.3">
      <c r="A788" s="1" t="s">
        <v>97</v>
      </c>
      <c r="B788" s="2">
        <v>46067</v>
      </c>
      <c r="C788" s="1" t="s">
        <v>94</v>
      </c>
      <c r="D788" s="1" t="s">
        <v>65</v>
      </c>
      <c r="E788" s="1" t="s">
        <v>66</v>
      </c>
      <c r="F788" s="1" t="s">
        <v>40</v>
      </c>
      <c r="G788" s="1" t="s">
        <v>96</v>
      </c>
      <c r="H788" s="1" t="s">
        <v>52</v>
      </c>
      <c r="I788">
        <v>5</v>
      </c>
      <c r="J788">
        <v>210</v>
      </c>
      <c r="K788">
        <v>0.05</v>
      </c>
      <c r="L788">
        <v>997.5</v>
      </c>
      <c r="M788" s="1" t="s">
        <v>33</v>
      </c>
    </row>
    <row r="789" spans="1:13" x14ac:dyDescent="0.3">
      <c r="A789" s="1" t="s">
        <v>97</v>
      </c>
      <c r="B789" s="2">
        <v>46060</v>
      </c>
      <c r="C789" s="1" t="s">
        <v>94</v>
      </c>
      <c r="D789" s="1" t="s">
        <v>26</v>
      </c>
      <c r="E789" s="1" t="s">
        <v>27</v>
      </c>
      <c r="F789" s="1" t="s">
        <v>28</v>
      </c>
      <c r="G789" s="1" t="s">
        <v>95</v>
      </c>
      <c r="H789" s="1" t="s">
        <v>56</v>
      </c>
      <c r="I789">
        <v>3</v>
      </c>
      <c r="J789">
        <v>180</v>
      </c>
      <c r="K789">
        <v>0</v>
      </c>
      <c r="L789">
        <v>540</v>
      </c>
      <c r="M789" s="1" t="s">
        <v>25</v>
      </c>
    </row>
    <row r="790" spans="1:13" x14ac:dyDescent="0.3">
      <c r="A790" s="1" t="s">
        <v>97</v>
      </c>
      <c r="B790" s="2">
        <v>46081</v>
      </c>
      <c r="C790" s="1" t="s">
        <v>94</v>
      </c>
      <c r="D790" s="1" t="s">
        <v>34</v>
      </c>
      <c r="E790" s="1" t="s">
        <v>35</v>
      </c>
      <c r="F790" s="1" t="s">
        <v>28</v>
      </c>
      <c r="G790" s="1" t="s">
        <v>95</v>
      </c>
      <c r="H790" s="1" t="s">
        <v>19</v>
      </c>
      <c r="I790">
        <v>4</v>
      </c>
      <c r="J790">
        <v>120</v>
      </c>
      <c r="K790">
        <v>0.05</v>
      </c>
      <c r="L790">
        <v>456</v>
      </c>
      <c r="M790" s="1" t="s">
        <v>37</v>
      </c>
    </row>
    <row r="791" spans="1:13" x14ac:dyDescent="0.3">
      <c r="A791" s="1" t="s">
        <v>97</v>
      </c>
      <c r="B791" s="2">
        <v>46063</v>
      </c>
      <c r="C791" s="1" t="s">
        <v>94</v>
      </c>
      <c r="D791" s="1" t="s">
        <v>54</v>
      </c>
      <c r="E791" s="1" t="s">
        <v>55</v>
      </c>
      <c r="F791" s="1" t="s">
        <v>23</v>
      </c>
      <c r="G791" s="1" t="s">
        <v>95</v>
      </c>
      <c r="H791" s="1" t="s">
        <v>67</v>
      </c>
      <c r="I791">
        <v>5</v>
      </c>
      <c r="J791">
        <v>75</v>
      </c>
      <c r="K791">
        <v>0.05</v>
      </c>
      <c r="L791">
        <v>356.25</v>
      </c>
      <c r="M791" s="1" t="s">
        <v>33</v>
      </c>
    </row>
    <row r="792" spans="1:13" x14ac:dyDescent="0.3">
      <c r="A792" s="1" t="s">
        <v>97</v>
      </c>
      <c r="B792" s="2">
        <v>46065</v>
      </c>
      <c r="C792" s="1" t="s">
        <v>94</v>
      </c>
      <c r="D792" s="1" t="s">
        <v>47</v>
      </c>
      <c r="E792" s="1" t="s">
        <v>48</v>
      </c>
      <c r="F792" s="1" t="s">
        <v>45</v>
      </c>
      <c r="G792" s="1" t="s">
        <v>96</v>
      </c>
      <c r="H792" s="1" t="s">
        <v>24</v>
      </c>
      <c r="I792">
        <v>2</v>
      </c>
      <c r="J792">
        <v>85</v>
      </c>
      <c r="K792">
        <v>0</v>
      </c>
      <c r="L792">
        <v>170</v>
      </c>
      <c r="M792" s="1" t="s">
        <v>20</v>
      </c>
    </row>
    <row r="793" spans="1:13" x14ac:dyDescent="0.3">
      <c r="A793" s="1" t="s">
        <v>97</v>
      </c>
      <c r="B793" s="2">
        <v>46054</v>
      </c>
      <c r="C793" s="1" t="s">
        <v>94</v>
      </c>
      <c r="D793" s="1" t="s">
        <v>47</v>
      </c>
      <c r="E793" s="1" t="s">
        <v>48</v>
      </c>
      <c r="F793" s="1" t="s">
        <v>45</v>
      </c>
      <c r="G793" s="1" t="s">
        <v>96</v>
      </c>
      <c r="H793" s="1" t="s">
        <v>85</v>
      </c>
      <c r="I793">
        <v>1</v>
      </c>
      <c r="J793">
        <v>85</v>
      </c>
      <c r="K793">
        <v>0.05</v>
      </c>
      <c r="L793">
        <v>80.75</v>
      </c>
      <c r="M793" s="1" t="s">
        <v>25</v>
      </c>
    </row>
    <row r="794" spans="1:13" x14ac:dyDescent="0.3">
      <c r="A794" s="1" t="s">
        <v>97</v>
      </c>
      <c r="B794" s="2">
        <v>46069</v>
      </c>
      <c r="C794" s="1" t="s">
        <v>94</v>
      </c>
      <c r="D794" s="1" t="s">
        <v>26</v>
      </c>
      <c r="E794" s="1" t="s">
        <v>27</v>
      </c>
      <c r="F794" s="1" t="s">
        <v>28</v>
      </c>
      <c r="G794" s="1" t="s">
        <v>96</v>
      </c>
      <c r="H794" s="1" t="s">
        <v>82</v>
      </c>
      <c r="I794">
        <v>5</v>
      </c>
      <c r="J794">
        <v>180</v>
      </c>
      <c r="K794">
        <v>0.05</v>
      </c>
      <c r="L794">
        <v>855</v>
      </c>
      <c r="M794" s="1" t="s">
        <v>37</v>
      </c>
    </row>
    <row r="795" spans="1:13" x14ac:dyDescent="0.3">
      <c r="A795" s="1" t="s">
        <v>97</v>
      </c>
      <c r="B795" s="2">
        <v>46062</v>
      </c>
      <c r="C795" s="1" t="s">
        <v>94</v>
      </c>
      <c r="D795" s="1" t="s">
        <v>72</v>
      </c>
      <c r="E795" s="1" t="s">
        <v>73</v>
      </c>
      <c r="F795" s="1" t="s">
        <v>17</v>
      </c>
      <c r="G795" s="1" t="s">
        <v>95</v>
      </c>
      <c r="H795" s="1" t="s">
        <v>79</v>
      </c>
      <c r="I795">
        <v>2</v>
      </c>
      <c r="J795">
        <v>170</v>
      </c>
      <c r="K795">
        <v>0</v>
      </c>
      <c r="L795">
        <v>340</v>
      </c>
      <c r="M795" s="1" t="s">
        <v>25</v>
      </c>
    </row>
    <row r="796" spans="1:13" x14ac:dyDescent="0.3">
      <c r="A796" s="1" t="s">
        <v>97</v>
      </c>
      <c r="B796" s="2">
        <v>46081</v>
      </c>
      <c r="C796" s="1" t="s">
        <v>94</v>
      </c>
      <c r="D796" s="1" t="s">
        <v>21</v>
      </c>
      <c r="E796" s="1" t="s">
        <v>22</v>
      </c>
      <c r="F796" s="1" t="s">
        <v>23</v>
      </c>
      <c r="G796" s="1" t="s">
        <v>95</v>
      </c>
      <c r="H796" s="1" t="s">
        <v>42</v>
      </c>
      <c r="I796">
        <v>5</v>
      </c>
      <c r="J796">
        <v>220</v>
      </c>
      <c r="K796">
        <v>0</v>
      </c>
      <c r="L796">
        <v>1100</v>
      </c>
      <c r="M796" s="1" t="s">
        <v>20</v>
      </c>
    </row>
    <row r="797" spans="1:13" x14ac:dyDescent="0.3">
      <c r="A797" s="1" t="s">
        <v>97</v>
      </c>
      <c r="B797" s="2">
        <v>46081</v>
      </c>
      <c r="C797" s="1" t="s">
        <v>94</v>
      </c>
      <c r="D797" s="1" t="s">
        <v>69</v>
      </c>
      <c r="E797" s="1" t="s">
        <v>70</v>
      </c>
      <c r="F797" s="1" t="s">
        <v>28</v>
      </c>
      <c r="G797" s="1" t="s">
        <v>95</v>
      </c>
      <c r="H797" s="1" t="s">
        <v>68</v>
      </c>
      <c r="I797">
        <v>2</v>
      </c>
      <c r="J797">
        <v>95</v>
      </c>
      <c r="K797">
        <v>0</v>
      </c>
      <c r="L797">
        <v>190</v>
      </c>
      <c r="M797" s="1" t="s">
        <v>37</v>
      </c>
    </row>
    <row r="798" spans="1:13" x14ac:dyDescent="0.3">
      <c r="A798" s="1" t="s">
        <v>97</v>
      </c>
      <c r="B798" s="2">
        <v>46077</v>
      </c>
      <c r="C798" s="1" t="s">
        <v>94</v>
      </c>
      <c r="D798" s="1" t="s">
        <v>21</v>
      </c>
      <c r="E798" s="1" t="s">
        <v>22</v>
      </c>
      <c r="F798" s="1" t="s">
        <v>23</v>
      </c>
      <c r="G798" s="1" t="s">
        <v>96</v>
      </c>
      <c r="H798" s="1" t="s">
        <v>19</v>
      </c>
      <c r="I798">
        <v>2</v>
      </c>
      <c r="J798">
        <v>220</v>
      </c>
      <c r="K798">
        <v>0</v>
      </c>
      <c r="L798">
        <v>440</v>
      </c>
      <c r="M798" s="1" t="s">
        <v>20</v>
      </c>
    </row>
    <row r="799" spans="1:13" x14ac:dyDescent="0.3">
      <c r="A799" s="1" t="s">
        <v>97</v>
      </c>
      <c r="B799" s="2">
        <v>46079</v>
      </c>
      <c r="C799" s="1" t="s">
        <v>94</v>
      </c>
      <c r="D799" s="1" t="s">
        <v>54</v>
      </c>
      <c r="E799" s="1" t="s">
        <v>55</v>
      </c>
      <c r="F799" s="1" t="s">
        <v>23</v>
      </c>
      <c r="G799" s="1" t="s">
        <v>95</v>
      </c>
      <c r="H799" s="1" t="s">
        <v>19</v>
      </c>
      <c r="I799">
        <v>1</v>
      </c>
      <c r="J799">
        <v>75</v>
      </c>
      <c r="K799">
        <v>0</v>
      </c>
      <c r="L799">
        <v>75</v>
      </c>
      <c r="M799" s="1" t="s">
        <v>37</v>
      </c>
    </row>
    <row r="800" spans="1:13" x14ac:dyDescent="0.3">
      <c r="A800" s="1" t="s">
        <v>97</v>
      </c>
      <c r="B800" s="2">
        <v>46071</v>
      </c>
      <c r="C800" s="1" t="s">
        <v>94</v>
      </c>
      <c r="D800" s="1" t="s">
        <v>72</v>
      </c>
      <c r="E800" s="1" t="s">
        <v>73</v>
      </c>
      <c r="F800" s="1" t="s">
        <v>17</v>
      </c>
      <c r="G800" s="1" t="s">
        <v>96</v>
      </c>
      <c r="H800" s="1" t="s">
        <v>87</v>
      </c>
      <c r="I800">
        <v>3</v>
      </c>
      <c r="J800">
        <v>170</v>
      </c>
      <c r="K800">
        <v>0</v>
      </c>
      <c r="L800">
        <v>510</v>
      </c>
      <c r="M800" s="1" t="s">
        <v>33</v>
      </c>
    </row>
    <row r="801" spans="1:13" x14ac:dyDescent="0.3">
      <c r="A801" s="1" t="s">
        <v>97</v>
      </c>
      <c r="B801" s="2">
        <v>46061</v>
      </c>
      <c r="C801" s="1" t="s">
        <v>94</v>
      </c>
      <c r="D801" s="1" t="s">
        <v>34</v>
      </c>
      <c r="E801" s="1" t="s">
        <v>35</v>
      </c>
      <c r="F801" s="1" t="s">
        <v>28</v>
      </c>
      <c r="G801" s="1" t="s">
        <v>96</v>
      </c>
      <c r="H801" s="1" t="s">
        <v>42</v>
      </c>
      <c r="I801">
        <v>3</v>
      </c>
      <c r="J801">
        <v>120</v>
      </c>
      <c r="K801">
        <v>0.05</v>
      </c>
      <c r="L801">
        <v>342</v>
      </c>
      <c r="M801" s="1" t="s">
        <v>33</v>
      </c>
    </row>
    <row r="802" spans="1:13" x14ac:dyDescent="0.3">
      <c r="A802" s="1" t="s">
        <v>135</v>
      </c>
      <c r="B802" s="2">
        <v>46112</v>
      </c>
      <c r="C802" s="1" t="s">
        <v>94</v>
      </c>
      <c r="D802" s="1" t="s">
        <v>38</v>
      </c>
      <c r="E802" s="1" t="s">
        <v>39</v>
      </c>
      <c r="F802" s="1" t="s">
        <v>40</v>
      </c>
      <c r="G802" s="1" t="s">
        <v>95</v>
      </c>
      <c r="H802" s="1" t="s">
        <v>85</v>
      </c>
      <c r="I802">
        <v>5</v>
      </c>
      <c r="J802">
        <v>55</v>
      </c>
      <c r="K802">
        <v>0</v>
      </c>
      <c r="L802">
        <v>275</v>
      </c>
      <c r="M802" s="1" t="s">
        <v>20</v>
      </c>
    </row>
    <row r="803" spans="1:13" x14ac:dyDescent="0.3">
      <c r="A803" s="1" t="s">
        <v>135</v>
      </c>
      <c r="B803" s="2">
        <v>46106</v>
      </c>
      <c r="C803" s="1" t="s">
        <v>94</v>
      </c>
      <c r="D803" s="1" t="s">
        <v>43</v>
      </c>
      <c r="E803" s="1" t="s">
        <v>44</v>
      </c>
      <c r="F803" s="1" t="s">
        <v>45</v>
      </c>
      <c r="G803" s="1" t="s">
        <v>95</v>
      </c>
      <c r="H803" s="1" t="s">
        <v>80</v>
      </c>
      <c r="I803">
        <v>4</v>
      </c>
      <c r="J803">
        <v>140</v>
      </c>
      <c r="K803">
        <v>0.05</v>
      </c>
      <c r="L803">
        <v>532</v>
      </c>
      <c r="M803" s="1" t="s">
        <v>37</v>
      </c>
    </row>
    <row r="804" spans="1:13" x14ac:dyDescent="0.3">
      <c r="A804" s="1" t="s">
        <v>135</v>
      </c>
      <c r="B804" s="2">
        <v>46097</v>
      </c>
      <c r="C804" s="1" t="s">
        <v>94</v>
      </c>
      <c r="D804" s="1" t="s">
        <v>43</v>
      </c>
      <c r="E804" s="1" t="s">
        <v>44</v>
      </c>
      <c r="F804" s="1" t="s">
        <v>45</v>
      </c>
      <c r="G804" s="1" t="s">
        <v>95</v>
      </c>
      <c r="H804" s="1" t="s">
        <v>56</v>
      </c>
      <c r="I804">
        <v>5</v>
      </c>
      <c r="J804">
        <v>140</v>
      </c>
      <c r="K804">
        <v>0.1</v>
      </c>
      <c r="L804">
        <v>630</v>
      </c>
      <c r="M804" s="1" t="s">
        <v>33</v>
      </c>
    </row>
    <row r="805" spans="1:13" x14ac:dyDescent="0.3">
      <c r="A805" s="1" t="s">
        <v>135</v>
      </c>
      <c r="B805" s="2">
        <v>46095</v>
      </c>
      <c r="C805" s="1" t="s">
        <v>94</v>
      </c>
      <c r="D805" s="1" t="s">
        <v>43</v>
      </c>
      <c r="E805" s="1" t="s">
        <v>44</v>
      </c>
      <c r="F805" s="1" t="s">
        <v>45</v>
      </c>
      <c r="G805" s="1" t="s">
        <v>96</v>
      </c>
      <c r="H805" s="1" t="s">
        <v>29</v>
      </c>
      <c r="I805">
        <v>2</v>
      </c>
      <c r="J805">
        <v>140</v>
      </c>
      <c r="K805">
        <v>0.1</v>
      </c>
      <c r="L805">
        <v>252</v>
      </c>
      <c r="M805" s="1" t="s">
        <v>20</v>
      </c>
    </row>
    <row r="806" spans="1:13" x14ac:dyDescent="0.3">
      <c r="A806" s="1" t="s">
        <v>135</v>
      </c>
      <c r="B806" s="2">
        <v>46105</v>
      </c>
      <c r="C806" s="1" t="s">
        <v>94</v>
      </c>
      <c r="D806" s="1" t="s">
        <v>26</v>
      </c>
      <c r="E806" s="1" t="s">
        <v>27</v>
      </c>
      <c r="F806" s="1" t="s">
        <v>28</v>
      </c>
      <c r="G806" s="1" t="s">
        <v>96</v>
      </c>
      <c r="H806" s="1" t="s">
        <v>68</v>
      </c>
      <c r="I806">
        <v>1</v>
      </c>
      <c r="J806">
        <v>180</v>
      </c>
      <c r="K806">
        <v>0</v>
      </c>
      <c r="L806">
        <v>180</v>
      </c>
      <c r="M806" s="1" t="s">
        <v>33</v>
      </c>
    </row>
    <row r="807" spans="1:13" x14ac:dyDescent="0.3">
      <c r="A807" s="1" t="s">
        <v>135</v>
      </c>
      <c r="B807" s="2">
        <v>46100</v>
      </c>
      <c r="C807" s="1" t="s">
        <v>94</v>
      </c>
      <c r="D807" s="1" t="s">
        <v>61</v>
      </c>
      <c r="E807" s="1" t="s">
        <v>62</v>
      </c>
      <c r="F807" s="1" t="s">
        <v>40</v>
      </c>
      <c r="G807" s="1" t="s">
        <v>96</v>
      </c>
      <c r="H807" s="1" t="s">
        <v>59</v>
      </c>
      <c r="I807">
        <v>3</v>
      </c>
      <c r="J807">
        <v>160</v>
      </c>
      <c r="K807">
        <v>0</v>
      </c>
      <c r="L807">
        <v>480</v>
      </c>
      <c r="M807" s="1" t="s">
        <v>33</v>
      </c>
    </row>
    <row r="808" spans="1:13" x14ac:dyDescent="0.3">
      <c r="A808" s="1" t="s">
        <v>135</v>
      </c>
      <c r="B808" s="2">
        <v>46089</v>
      </c>
      <c r="C808" s="1" t="s">
        <v>94</v>
      </c>
      <c r="D808" s="1" t="s">
        <v>65</v>
      </c>
      <c r="E808" s="1" t="s">
        <v>66</v>
      </c>
      <c r="F808" s="1" t="s">
        <v>40</v>
      </c>
      <c r="G808" s="1" t="s">
        <v>96</v>
      </c>
      <c r="H808" s="1" t="s">
        <v>51</v>
      </c>
      <c r="I808">
        <v>2</v>
      </c>
      <c r="J808">
        <v>210</v>
      </c>
      <c r="K808">
        <v>0</v>
      </c>
      <c r="L808">
        <v>420</v>
      </c>
      <c r="M808" s="1" t="s">
        <v>33</v>
      </c>
    </row>
    <row r="809" spans="1:13" x14ac:dyDescent="0.3">
      <c r="A809" s="1" t="s">
        <v>135</v>
      </c>
      <c r="B809" s="2">
        <v>46085</v>
      </c>
      <c r="C809" s="1" t="s">
        <v>94</v>
      </c>
      <c r="D809" s="1" t="s">
        <v>72</v>
      </c>
      <c r="E809" s="1" t="s">
        <v>73</v>
      </c>
      <c r="F809" s="1" t="s">
        <v>17</v>
      </c>
      <c r="G809" s="1" t="s">
        <v>95</v>
      </c>
      <c r="H809" s="1" t="s">
        <v>79</v>
      </c>
      <c r="I809">
        <v>3</v>
      </c>
      <c r="J809">
        <v>170</v>
      </c>
      <c r="K809">
        <v>0</v>
      </c>
      <c r="L809">
        <v>510</v>
      </c>
      <c r="M809" s="1" t="s">
        <v>37</v>
      </c>
    </row>
    <row r="810" spans="1:13" x14ac:dyDescent="0.3">
      <c r="A810" s="1" t="s">
        <v>135</v>
      </c>
      <c r="B810" s="2">
        <v>46109</v>
      </c>
      <c r="C810" s="1" t="s">
        <v>94</v>
      </c>
      <c r="D810" s="1" t="s">
        <v>38</v>
      </c>
      <c r="E810" s="1" t="s">
        <v>39</v>
      </c>
      <c r="F810" s="1" t="s">
        <v>40</v>
      </c>
      <c r="G810" s="1" t="s">
        <v>96</v>
      </c>
      <c r="H810" s="1" t="s">
        <v>53</v>
      </c>
      <c r="I810">
        <v>5</v>
      </c>
      <c r="J810">
        <v>55</v>
      </c>
      <c r="K810">
        <v>0.15</v>
      </c>
      <c r="L810">
        <v>233.75</v>
      </c>
      <c r="M810" s="1" t="s">
        <v>37</v>
      </c>
    </row>
    <row r="811" spans="1:13" x14ac:dyDescent="0.3">
      <c r="A811" s="1" t="s">
        <v>135</v>
      </c>
      <c r="B811" s="2">
        <v>46097</v>
      </c>
      <c r="C811" s="1" t="s">
        <v>94</v>
      </c>
      <c r="D811" s="1" t="s">
        <v>15</v>
      </c>
      <c r="E811" s="1" t="s">
        <v>16</v>
      </c>
      <c r="F811" s="1" t="s">
        <v>17</v>
      </c>
      <c r="G811" s="1" t="s">
        <v>95</v>
      </c>
      <c r="H811" s="1" t="s">
        <v>68</v>
      </c>
      <c r="I811">
        <v>5</v>
      </c>
      <c r="J811">
        <v>60</v>
      </c>
      <c r="K811">
        <v>0.1</v>
      </c>
      <c r="L811">
        <v>270</v>
      </c>
      <c r="M811" s="1" t="s">
        <v>20</v>
      </c>
    </row>
    <row r="812" spans="1:13" x14ac:dyDescent="0.3">
      <c r="A812" s="1" t="s">
        <v>135</v>
      </c>
      <c r="B812" s="2">
        <v>46098</v>
      </c>
      <c r="C812" s="1" t="s">
        <v>94</v>
      </c>
      <c r="D812" s="1" t="s">
        <v>69</v>
      </c>
      <c r="E812" s="1" t="s">
        <v>70</v>
      </c>
      <c r="F812" s="1" t="s">
        <v>28</v>
      </c>
      <c r="G812" s="1" t="s">
        <v>96</v>
      </c>
      <c r="H812" s="1" t="s">
        <v>52</v>
      </c>
      <c r="I812">
        <v>5</v>
      </c>
      <c r="J812">
        <v>95</v>
      </c>
      <c r="K812">
        <v>0</v>
      </c>
      <c r="L812">
        <v>475</v>
      </c>
      <c r="M812" s="1" t="s">
        <v>25</v>
      </c>
    </row>
    <row r="813" spans="1:13" x14ac:dyDescent="0.3">
      <c r="A813" s="1" t="s">
        <v>135</v>
      </c>
      <c r="B813" s="2">
        <v>46106</v>
      </c>
      <c r="C813" s="1" t="s">
        <v>94</v>
      </c>
      <c r="D813" s="1" t="s">
        <v>65</v>
      </c>
      <c r="E813" s="1" t="s">
        <v>66</v>
      </c>
      <c r="F813" s="1" t="s">
        <v>40</v>
      </c>
      <c r="G813" s="1" t="s">
        <v>95</v>
      </c>
      <c r="H813" s="1" t="s">
        <v>76</v>
      </c>
      <c r="I813">
        <v>4</v>
      </c>
      <c r="J813">
        <v>210</v>
      </c>
      <c r="K813">
        <v>0.1</v>
      </c>
      <c r="L813">
        <v>756</v>
      </c>
      <c r="M813" s="1" t="s">
        <v>37</v>
      </c>
    </row>
    <row r="814" spans="1:13" x14ac:dyDescent="0.3">
      <c r="A814" s="1" t="s">
        <v>135</v>
      </c>
      <c r="B814" s="2">
        <v>46088</v>
      </c>
      <c r="C814" s="1" t="s">
        <v>94</v>
      </c>
      <c r="D814" s="1" t="s">
        <v>34</v>
      </c>
      <c r="E814" s="1" t="s">
        <v>35</v>
      </c>
      <c r="F814" s="1" t="s">
        <v>28</v>
      </c>
      <c r="G814" s="1" t="s">
        <v>96</v>
      </c>
      <c r="H814" s="1" t="s">
        <v>53</v>
      </c>
      <c r="I814">
        <v>1</v>
      </c>
      <c r="J814">
        <v>120</v>
      </c>
      <c r="K814">
        <v>0</v>
      </c>
      <c r="L814">
        <v>120</v>
      </c>
      <c r="M814" s="1" t="s">
        <v>20</v>
      </c>
    </row>
    <row r="815" spans="1:13" x14ac:dyDescent="0.3">
      <c r="A815" s="1" t="s">
        <v>135</v>
      </c>
      <c r="B815" s="2">
        <v>46090</v>
      </c>
      <c r="C815" s="1" t="s">
        <v>94</v>
      </c>
      <c r="D815" s="1" t="s">
        <v>38</v>
      </c>
      <c r="E815" s="1" t="s">
        <v>39</v>
      </c>
      <c r="F815" s="1" t="s">
        <v>40</v>
      </c>
      <c r="G815" s="1" t="s">
        <v>95</v>
      </c>
      <c r="H815" s="1" t="s">
        <v>74</v>
      </c>
      <c r="I815">
        <v>3</v>
      </c>
      <c r="J815">
        <v>55</v>
      </c>
      <c r="K815">
        <v>0</v>
      </c>
      <c r="L815">
        <v>165</v>
      </c>
      <c r="M815" s="1" t="s">
        <v>20</v>
      </c>
    </row>
    <row r="816" spans="1:13" x14ac:dyDescent="0.3">
      <c r="A816" s="1" t="s">
        <v>135</v>
      </c>
      <c r="B816" s="2">
        <v>46095</v>
      </c>
      <c r="C816" s="1" t="s">
        <v>94</v>
      </c>
      <c r="D816" s="1" t="s">
        <v>69</v>
      </c>
      <c r="E816" s="1" t="s">
        <v>70</v>
      </c>
      <c r="F816" s="1" t="s">
        <v>28</v>
      </c>
      <c r="G816" s="1" t="s">
        <v>96</v>
      </c>
      <c r="H816" s="1" t="s">
        <v>56</v>
      </c>
      <c r="I816">
        <v>4</v>
      </c>
      <c r="J816">
        <v>95</v>
      </c>
      <c r="K816">
        <v>0</v>
      </c>
      <c r="L816">
        <v>380</v>
      </c>
      <c r="M816" s="1" t="s">
        <v>20</v>
      </c>
    </row>
    <row r="817" spans="1:13" x14ac:dyDescent="0.3">
      <c r="A817" s="1" t="s">
        <v>135</v>
      </c>
      <c r="B817" s="2">
        <v>46100</v>
      </c>
      <c r="C817" s="1" t="s">
        <v>94</v>
      </c>
      <c r="D817" s="1" t="s">
        <v>61</v>
      </c>
      <c r="E817" s="1" t="s">
        <v>62</v>
      </c>
      <c r="F817" s="1" t="s">
        <v>40</v>
      </c>
      <c r="G817" s="1" t="s">
        <v>95</v>
      </c>
      <c r="H817" s="1" t="s">
        <v>59</v>
      </c>
      <c r="I817">
        <v>5</v>
      </c>
      <c r="J817">
        <v>160</v>
      </c>
      <c r="K817">
        <v>0</v>
      </c>
      <c r="L817">
        <v>800</v>
      </c>
      <c r="M817" s="1" t="s">
        <v>20</v>
      </c>
    </row>
    <row r="818" spans="1:13" x14ac:dyDescent="0.3">
      <c r="A818" s="1" t="s">
        <v>135</v>
      </c>
      <c r="B818" s="2">
        <v>46094</v>
      </c>
      <c r="C818" s="1" t="s">
        <v>94</v>
      </c>
      <c r="D818" s="1" t="s">
        <v>49</v>
      </c>
      <c r="E818" s="1" t="s">
        <v>50</v>
      </c>
      <c r="F818" s="1" t="s">
        <v>45</v>
      </c>
      <c r="G818" s="1" t="s">
        <v>95</v>
      </c>
      <c r="H818" s="1" t="s">
        <v>59</v>
      </c>
      <c r="I818">
        <v>5</v>
      </c>
      <c r="J818">
        <v>35</v>
      </c>
      <c r="K818">
        <v>0</v>
      </c>
      <c r="L818">
        <v>175</v>
      </c>
      <c r="M818" s="1" t="s">
        <v>33</v>
      </c>
    </row>
    <row r="819" spans="1:13" x14ac:dyDescent="0.3">
      <c r="A819" s="1" t="s">
        <v>135</v>
      </c>
      <c r="B819" s="2">
        <v>46097</v>
      </c>
      <c r="C819" s="1" t="s">
        <v>94</v>
      </c>
      <c r="D819" s="1" t="s">
        <v>61</v>
      </c>
      <c r="E819" s="1" t="s">
        <v>62</v>
      </c>
      <c r="F819" s="1" t="s">
        <v>40</v>
      </c>
      <c r="G819" s="1" t="s">
        <v>95</v>
      </c>
      <c r="H819" s="1" t="s">
        <v>84</v>
      </c>
      <c r="I819">
        <v>1</v>
      </c>
      <c r="J819">
        <v>160</v>
      </c>
      <c r="K819">
        <v>0</v>
      </c>
      <c r="L819">
        <v>160</v>
      </c>
      <c r="M819" s="1" t="s">
        <v>20</v>
      </c>
    </row>
    <row r="820" spans="1:13" x14ac:dyDescent="0.3">
      <c r="A820" s="1" t="s">
        <v>135</v>
      </c>
      <c r="B820" s="2">
        <v>46109</v>
      </c>
      <c r="C820" s="1" t="s">
        <v>94</v>
      </c>
      <c r="D820" s="1" t="s">
        <v>49</v>
      </c>
      <c r="E820" s="1" t="s">
        <v>50</v>
      </c>
      <c r="F820" s="1" t="s">
        <v>45</v>
      </c>
      <c r="G820" s="1" t="s">
        <v>95</v>
      </c>
      <c r="H820" s="1" t="s">
        <v>67</v>
      </c>
      <c r="I820">
        <v>3</v>
      </c>
      <c r="J820">
        <v>35</v>
      </c>
      <c r="K820">
        <v>0</v>
      </c>
      <c r="L820">
        <v>105</v>
      </c>
      <c r="M820" s="1" t="s">
        <v>33</v>
      </c>
    </row>
    <row r="821" spans="1:13" x14ac:dyDescent="0.3">
      <c r="A821" s="1" t="s">
        <v>135</v>
      </c>
      <c r="B821" s="2">
        <v>46102</v>
      </c>
      <c r="C821" s="1" t="s">
        <v>94</v>
      </c>
      <c r="D821" s="1" t="s">
        <v>30</v>
      </c>
      <c r="E821" s="1" t="s">
        <v>31</v>
      </c>
      <c r="F821" s="1" t="s">
        <v>23</v>
      </c>
      <c r="G821" s="1" t="s">
        <v>95</v>
      </c>
      <c r="H821" s="1" t="s">
        <v>53</v>
      </c>
      <c r="I821">
        <v>3</v>
      </c>
      <c r="J821">
        <v>2800</v>
      </c>
      <c r="K821">
        <v>0</v>
      </c>
      <c r="L821">
        <v>8400</v>
      </c>
      <c r="M821" s="1" t="s">
        <v>20</v>
      </c>
    </row>
    <row r="822" spans="1:13" x14ac:dyDescent="0.3">
      <c r="A822" s="1" t="s">
        <v>135</v>
      </c>
      <c r="B822" s="2">
        <v>46107</v>
      </c>
      <c r="C822" s="1" t="s">
        <v>94</v>
      </c>
      <c r="D822" s="1" t="s">
        <v>69</v>
      </c>
      <c r="E822" s="1" t="s">
        <v>70</v>
      </c>
      <c r="F822" s="1" t="s">
        <v>28</v>
      </c>
      <c r="G822" s="1" t="s">
        <v>96</v>
      </c>
      <c r="H822" s="1" t="s">
        <v>78</v>
      </c>
      <c r="I822">
        <v>5</v>
      </c>
      <c r="J822">
        <v>95</v>
      </c>
      <c r="K822">
        <v>0.05</v>
      </c>
      <c r="L822">
        <v>451.25</v>
      </c>
      <c r="M822" s="1" t="s">
        <v>25</v>
      </c>
    </row>
    <row r="823" spans="1:13" x14ac:dyDescent="0.3">
      <c r="A823" s="1" t="s">
        <v>135</v>
      </c>
      <c r="B823" s="2">
        <v>46100</v>
      </c>
      <c r="C823" s="1" t="s">
        <v>94</v>
      </c>
      <c r="D823" s="1" t="s">
        <v>69</v>
      </c>
      <c r="E823" s="1" t="s">
        <v>70</v>
      </c>
      <c r="F823" s="1" t="s">
        <v>28</v>
      </c>
      <c r="G823" s="1" t="s">
        <v>95</v>
      </c>
      <c r="H823" s="1" t="s">
        <v>32</v>
      </c>
      <c r="I823">
        <v>5</v>
      </c>
      <c r="J823">
        <v>95</v>
      </c>
      <c r="K823">
        <v>0</v>
      </c>
      <c r="L823">
        <v>475</v>
      </c>
      <c r="M823" s="1" t="s">
        <v>20</v>
      </c>
    </row>
    <row r="824" spans="1:13" x14ac:dyDescent="0.3">
      <c r="A824" s="1" t="s">
        <v>135</v>
      </c>
      <c r="B824" s="2">
        <v>46105</v>
      </c>
      <c r="C824" s="1" t="s">
        <v>94</v>
      </c>
      <c r="D824" s="1" t="s">
        <v>34</v>
      </c>
      <c r="E824" s="1" t="s">
        <v>35</v>
      </c>
      <c r="F824" s="1" t="s">
        <v>28</v>
      </c>
      <c r="G824" s="1" t="s">
        <v>96</v>
      </c>
      <c r="H824" s="1" t="s">
        <v>56</v>
      </c>
      <c r="I824">
        <v>5</v>
      </c>
      <c r="J824">
        <v>120</v>
      </c>
      <c r="K824">
        <v>0</v>
      </c>
      <c r="L824">
        <v>600</v>
      </c>
      <c r="M824" s="1" t="s">
        <v>20</v>
      </c>
    </row>
    <row r="825" spans="1:13" x14ac:dyDescent="0.3">
      <c r="A825" s="1" t="s">
        <v>135</v>
      </c>
      <c r="B825" s="2">
        <v>46102</v>
      </c>
      <c r="C825" s="1" t="s">
        <v>94</v>
      </c>
      <c r="D825" s="1" t="s">
        <v>61</v>
      </c>
      <c r="E825" s="1" t="s">
        <v>62</v>
      </c>
      <c r="F825" s="1" t="s">
        <v>40</v>
      </c>
      <c r="G825" s="1" t="s">
        <v>96</v>
      </c>
      <c r="H825" s="1" t="s">
        <v>74</v>
      </c>
      <c r="I825">
        <v>2</v>
      </c>
      <c r="J825">
        <v>160</v>
      </c>
      <c r="K825">
        <v>0.1</v>
      </c>
      <c r="L825">
        <v>288</v>
      </c>
      <c r="M825" s="1" t="s">
        <v>37</v>
      </c>
    </row>
    <row r="826" spans="1:13" x14ac:dyDescent="0.3">
      <c r="A826" s="1" t="s">
        <v>135</v>
      </c>
      <c r="B826" s="2">
        <v>46092</v>
      </c>
      <c r="C826" s="1" t="s">
        <v>94</v>
      </c>
      <c r="D826" s="1" t="s">
        <v>72</v>
      </c>
      <c r="E826" s="1" t="s">
        <v>73</v>
      </c>
      <c r="F826" s="1" t="s">
        <v>17</v>
      </c>
      <c r="G826" s="1" t="s">
        <v>95</v>
      </c>
      <c r="H826" s="1" t="s">
        <v>75</v>
      </c>
      <c r="I826">
        <v>1</v>
      </c>
      <c r="J826">
        <v>170</v>
      </c>
      <c r="K826">
        <v>0</v>
      </c>
      <c r="L826">
        <v>170</v>
      </c>
      <c r="M826" s="1" t="s">
        <v>20</v>
      </c>
    </row>
    <row r="827" spans="1:13" x14ac:dyDescent="0.3">
      <c r="A827" s="1" t="s">
        <v>135</v>
      </c>
      <c r="B827" s="2">
        <v>46090</v>
      </c>
      <c r="C827" s="1" t="s">
        <v>94</v>
      </c>
      <c r="D827" s="1" t="s">
        <v>47</v>
      </c>
      <c r="E827" s="1" t="s">
        <v>48</v>
      </c>
      <c r="F827" s="1" t="s">
        <v>45</v>
      </c>
      <c r="G827" s="1" t="s">
        <v>96</v>
      </c>
      <c r="H827" s="1" t="s">
        <v>46</v>
      </c>
      <c r="I827">
        <v>5</v>
      </c>
      <c r="J827">
        <v>85</v>
      </c>
      <c r="K827">
        <v>0.05</v>
      </c>
      <c r="L827">
        <v>403.75</v>
      </c>
      <c r="M827" s="1" t="s">
        <v>37</v>
      </c>
    </row>
    <row r="828" spans="1:13" x14ac:dyDescent="0.3">
      <c r="A828" s="1" t="s">
        <v>135</v>
      </c>
      <c r="B828" s="2">
        <v>46086</v>
      </c>
      <c r="C828" s="1" t="s">
        <v>94</v>
      </c>
      <c r="D828" s="1" t="s">
        <v>61</v>
      </c>
      <c r="E828" s="1" t="s">
        <v>62</v>
      </c>
      <c r="F828" s="1" t="s">
        <v>40</v>
      </c>
      <c r="G828" s="1" t="s">
        <v>95</v>
      </c>
      <c r="H828" s="1" t="s">
        <v>59</v>
      </c>
      <c r="I828">
        <v>2</v>
      </c>
      <c r="J828">
        <v>160</v>
      </c>
      <c r="K828">
        <v>0.1</v>
      </c>
      <c r="L828">
        <v>288</v>
      </c>
      <c r="M828" s="1" t="s">
        <v>25</v>
      </c>
    </row>
    <row r="829" spans="1:13" x14ac:dyDescent="0.3">
      <c r="A829" s="1" t="s">
        <v>135</v>
      </c>
      <c r="B829" s="2">
        <v>46084</v>
      </c>
      <c r="C829" s="1" t="s">
        <v>94</v>
      </c>
      <c r="D829" s="1" t="s">
        <v>21</v>
      </c>
      <c r="E829" s="1" t="s">
        <v>22</v>
      </c>
      <c r="F829" s="1" t="s">
        <v>23</v>
      </c>
      <c r="G829" s="1" t="s">
        <v>96</v>
      </c>
      <c r="H829" s="1" t="s">
        <v>29</v>
      </c>
      <c r="I829">
        <v>4</v>
      </c>
      <c r="J829">
        <v>220</v>
      </c>
      <c r="K829">
        <v>0</v>
      </c>
      <c r="L829">
        <v>880</v>
      </c>
      <c r="M829" s="1" t="s">
        <v>37</v>
      </c>
    </row>
    <row r="830" spans="1:13" x14ac:dyDescent="0.3">
      <c r="A830" s="1" t="s">
        <v>135</v>
      </c>
      <c r="B830" s="2">
        <v>46101</v>
      </c>
      <c r="C830" s="1" t="s">
        <v>94</v>
      </c>
      <c r="D830" s="1" t="s">
        <v>65</v>
      </c>
      <c r="E830" s="1" t="s">
        <v>66</v>
      </c>
      <c r="F830" s="1" t="s">
        <v>40</v>
      </c>
      <c r="G830" s="1" t="s">
        <v>95</v>
      </c>
      <c r="H830" s="1" t="s">
        <v>68</v>
      </c>
      <c r="I830">
        <v>1</v>
      </c>
      <c r="J830">
        <v>210</v>
      </c>
      <c r="K830">
        <v>0</v>
      </c>
      <c r="L830">
        <v>210</v>
      </c>
      <c r="M830" s="1" t="s">
        <v>37</v>
      </c>
    </row>
    <row r="831" spans="1:13" x14ac:dyDescent="0.3">
      <c r="A831" s="1" t="s">
        <v>135</v>
      </c>
      <c r="B831" s="2">
        <v>46096</v>
      </c>
      <c r="C831" s="1" t="s">
        <v>94</v>
      </c>
      <c r="D831" s="1" t="s">
        <v>34</v>
      </c>
      <c r="E831" s="1" t="s">
        <v>35</v>
      </c>
      <c r="F831" s="1" t="s">
        <v>28</v>
      </c>
      <c r="G831" s="1" t="s">
        <v>95</v>
      </c>
      <c r="H831" s="1" t="s">
        <v>36</v>
      </c>
      <c r="I831">
        <v>2</v>
      </c>
      <c r="J831">
        <v>120</v>
      </c>
      <c r="K831">
        <v>0.05</v>
      </c>
      <c r="L831">
        <v>228</v>
      </c>
      <c r="M831" s="1" t="s">
        <v>33</v>
      </c>
    </row>
    <row r="832" spans="1:13" x14ac:dyDescent="0.3">
      <c r="A832" s="1" t="s">
        <v>135</v>
      </c>
      <c r="B832" s="2">
        <v>46092</v>
      </c>
      <c r="C832" s="1" t="s">
        <v>94</v>
      </c>
      <c r="D832" s="1" t="s">
        <v>30</v>
      </c>
      <c r="E832" s="1" t="s">
        <v>31</v>
      </c>
      <c r="F832" s="1" t="s">
        <v>23</v>
      </c>
      <c r="G832" s="1" t="s">
        <v>96</v>
      </c>
      <c r="H832" s="1" t="s">
        <v>84</v>
      </c>
      <c r="I832">
        <v>3</v>
      </c>
      <c r="J832">
        <v>2800</v>
      </c>
      <c r="K832">
        <v>0.1</v>
      </c>
      <c r="L832">
        <v>7560</v>
      </c>
      <c r="M832" s="1" t="s">
        <v>20</v>
      </c>
    </row>
    <row r="833" spans="1:13" x14ac:dyDescent="0.3">
      <c r="A833" s="1" t="s">
        <v>135</v>
      </c>
      <c r="B833" s="2">
        <v>46104</v>
      </c>
      <c r="C833" s="1" t="s">
        <v>94</v>
      </c>
      <c r="D833" s="1" t="s">
        <v>65</v>
      </c>
      <c r="E833" s="1" t="s">
        <v>66</v>
      </c>
      <c r="F833" s="1" t="s">
        <v>40</v>
      </c>
      <c r="G833" s="1" t="s">
        <v>95</v>
      </c>
      <c r="H833" s="1" t="s">
        <v>60</v>
      </c>
      <c r="I833">
        <v>2</v>
      </c>
      <c r="J833">
        <v>210</v>
      </c>
      <c r="K833">
        <v>0.15</v>
      </c>
      <c r="L833">
        <v>357</v>
      </c>
      <c r="M833" s="1" t="s">
        <v>37</v>
      </c>
    </row>
    <row r="834" spans="1:13" x14ac:dyDescent="0.3">
      <c r="A834" s="1" t="s">
        <v>135</v>
      </c>
      <c r="B834" s="2">
        <v>46093</v>
      </c>
      <c r="C834" s="1" t="s">
        <v>94</v>
      </c>
      <c r="D834" s="1" t="s">
        <v>65</v>
      </c>
      <c r="E834" s="1" t="s">
        <v>66</v>
      </c>
      <c r="F834" s="1" t="s">
        <v>40</v>
      </c>
      <c r="G834" s="1" t="s">
        <v>96</v>
      </c>
      <c r="H834" s="1" t="s">
        <v>63</v>
      </c>
      <c r="I834">
        <v>5</v>
      </c>
      <c r="J834">
        <v>210</v>
      </c>
      <c r="K834">
        <v>0</v>
      </c>
      <c r="L834">
        <v>1050</v>
      </c>
      <c r="M834" s="1" t="s">
        <v>25</v>
      </c>
    </row>
    <row r="835" spans="1:13" x14ac:dyDescent="0.3">
      <c r="A835" s="1" t="s">
        <v>135</v>
      </c>
      <c r="B835" s="2">
        <v>46086</v>
      </c>
      <c r="C835" s="1" t="s">
        <v>94</v>
      </c>
      <c r="D835" s="1" t="s">
        <v>61</v>
      </c>
      <c r="E835" s="1" t="s">
        <v>62</v>
      </c>
      <c r="F835" s="1" t="s">
        <v>40</v>
      </c>
      <c r="G835" s="1" t="s">
        <v>96</v>
      </c>
      <c r="H835" s="1" t="s">
        <v>87</v>
      </c>
      <c r="I835">
        <v>3</v>
      </c>
      <c r="J835">
        <v>160</v>
      </c>
      <c r="K835">
        <v>0</v>
      </c>
      <c r="L835">
        <v>480</v>
      </c>
      <c r="M835" s="1" t="s">
        <v>33</v>
      </c>
    </row>
    <row r="836" spans="1:13" x14ac:dyDescent="0.3">
      <c r="A836" s="1" t="s">
        <v>135</v>
      </c>
      <c r="B836" s="2">
        <v>46104</v>
      </c>
      <c r="C836" s="1" t="s">
        <v>94</v>
      </c>
      <c r="D836" s="1" t="s">
        <v>34</v>
      </c>
      <c r="E836" s="1" t="s">
        <v>35</v>
      </c>
      <c r="F836" s="1" t="s">
        <v>28</v>
      </c>
      <c r="G836" s="1" t="s">
        <v>96</v>
      </c>
      <c r="H836" s="1" t="s">
        <v>42</v>
      </c>
      <c r="I836">
        <v>4</v>
      </c>
      <c r="J836">
        <v>120</v>
      </c>
      <c r="K836">
        <v>0</v>
      </c>
      <c r="L836">
        <v>480</v>
      </c>
      <c r="M836" s="1" t="s">
        <v>20</v>
      </c>
    </row>
    <row r="837" spans="1:13" x14ac:dyDescent="0.3">
      <c r="A837" s="1" t="s">
        <v>135</v>
      </c>
      <c r="B837" s="2">
        <v>46101</v>
      </c>
      <c r="C837" s="1" t="s">
        <v>94</v>
      </c>
      <c r="D837" s="1" t="s">
        <v>30</v>
      </c>
      <c r="E837" s="1" t="s">
        <v>31</v>
      </c>
      <c r="F837" s="1" t="s">
        <v>23</v>
      </c>
      <c r="G837" s="1" t="s">
        <v>95</v>
      </c>
      <c r="H837" s="1" t="s">
        <v>52</v>
      </c>
      <c r="I837">
        <v>4</v>
      </c>
      <c r="J837">
        <v>2800</v>
      </c>
      <c r="K837">
        <v>0.05</v>
      </c>
      <c r="L837">
        <v>10640</v>
      </c>
      <c r="M837" s="1" t="s">
        <v>20</v>
      </c>
    </row>
    <row r="838" spans="1:13" x14ac:dyDescent="0.3">
      <c r="A838" s="1" t="s">
        <v>135</v>
      </c>
      <c r="B838" s="2">
        <v>46089</v>
      </c>
      <c r="C838" s="1" t="s">
        <v>94</v>
      </c>
      <c r="D838" s="1" t="s">
        <v>21</v>
      </c>
      <c r="E838" s="1" t="s">
        <v>22</v>
      </c>
      <c r="F838" s="1" t="s">
        <v>23</v>
      </c>
      <c r="G838" s="1" t="s">
        <v>95</v>
      </c>
      <c r="H838" s="1" t="s">
        <v>75</v>
      </c>
      <c r="I838">
        <v>5</v>
      </c>
      <c r="J838">
        <v>220</v>
      </c>
      <c r="K838">
        <v>0</v>
      </c>
      <c r="L838">
        <v>1100</v>
      </c>
      <c r="M838" s="1" t="s">
        <v>37</v>
      </c>
    </row>
    <row r="839" spans="1:13" x14ac:dyDescent="0.3">
      <c r="A839" s="1" t="s">
        <v>135</v>
      </c>
      <c r="B839" s="2">
        <v>46095</v>
      </c>
      <c r="C839" s="1" t="s">
        <v>94</v>
      </c>
      <c r="D839" s="1" t="s">
        <v>72</v>
      </c>
      <c r="E839" s="1" t="s">
        <v>73</v>
      </c>
      <c r="F839" s="1" t="s">
        <v>17</v>
      </c>
      <c r="G839" s="1" t="s">
        <v>95</v>
      </c>
      <c r="H839" s="1" t="s">
        <v>63</v>
      </c>
      <c r="I839">
        <v>2</v>
      </c>
      <c r="J839">
        <v>170</v>
      </c>
      <c r="K839">
        <v>0</v>
      </c>
      <c r="L839">
        <v>340</v>
      </c>
      <c r="M839" s="1" t="s">
        <v>20</v>
      </c>
    </row>
    <row r="840" spans="1:13" x14ac:dyDescent="0.3">
      <c r="A840" s="1" t="s">
        <v>135</v>
      </c>
      <c r="B840" s="2">
        <v>46095</v>
      </c>
      <c r="C840" s="1" t="s">
        <v>94</v>
      </c>
      <c r="D840" s="1" t="s">
        <v>26</v>
      </c>
      <c r="E840" s="1" t="s">
        <v>27</v>
      </c>
      <c r="F840" s="1" t="s">
        <v>28</v>
      </c>
      <c r="G840" s="1" t="s">
        <v>95</v>
      </c>
      <c r="H840" s="1" t="s">
        <v>83</v>
      </c>
      <c r="I840">
        <v>5</v>
      </c>
      <c r="J840">
        <v>180</v>
      </c>
      <c r="K840">
        <v>0.1</v>
      </c>
      <c r="L840">
        <v>810</v>
      </c>
      <c r="M840" s="1" t="s">
        <v>33</v>
      </c>
    </row>
    <row r="841" spans="1:13" x14ac:dyDescent="0.3">
      <c r="A841" s="1" t="s">
        <v>135</v>
      </c>
      <c r="B841" s="2">
        <v>46090</v>
      </c>
      <c r="C841" s="1" t="s">
        <v>94</v>
      </c>
      <c r="D841" s="1" t="s">
        <v>34</v>
      </c>
      <c r="E841" s="1" t="s">
        <v>35</v>
      </c>
      <c r="F841" s="1" t="s">
        <v>28</v>
      </c>
      <c r="G841" s="1" t="s">
        <v>96</v>
      </c>
      <c r="H841" s="1" t="s">
        <v>29</v>
      </c>
      <c r="I841">
        <v>4</v>
      </c>
      <c r="J841">
        <v>120</v>
      </c>
      <c r="K841">
        <v>0.05</v>
      </c>
      <c r="L841">
        <v>456</v>
      </c>
      <c r="M841" s="1" t="s">
        <v>33</v>
      </c>
    </row>
    <row r="842" spans="1:13" x14ac:dyDescent="0.3">
      <c r="A842" s="1" t="s">
        <v>135</v>
      </c>
      <c r="B842" s="2">
        <v>46085</v>
      </c>
      <c r="C842" s="1" t="s">
        <v>94</v>
      </c>
      <c r="D842" s="1" t="s">
        <v>30</v>
      </c>
      <c r="E842" s="1" t="s">
        <v>31</v>
      </c>
      <c r="F842" s="1" t="s">
        <v>23</v>
      </c>
      <c r="G842" s="1" t="s">
        <v>96</v>
      </c>
      <c r="H842" s="1" t="s">
        <v>67</v>
      </c>
      <c r="I842">
        <v>5</v>
      </c>
      <c r="J842">
        <v>2800</v>
      </c>
      <c r="K842">
        <v>0</v>
      </c>
      <c r="L842">
        <v>14000</v>
      </c>
      <c r="M842" s="1" t="s">
        <v>37</v>
      </c>
    </row>
    <row r="843" spans="1:13" x14ac:dyDescent="0.3">
      <c r="A843" s="1" t="s">
        <v>135</v>
      </c>
      <c r="B843" s="2">
        <v>46082</v>
      </c>
      <c r="C843" s="1" t="s">
        <v>94</v>
      </c>
      <c r="D843" s="1" t="s">
        <v>47</v>
      </c>
      <c r="E843" s="1" t="s">
        <v>48</v>
      </c>
      <c r="F843" s="1" t="s">
        <v>45</v>
      </c>
      <c r="G843" s="1" t="s">
        <v>96</v>
      </c>
      <c r="H843" s="1" t="s">
        <v>78</v>
      </c>
      <c r="I843">
        <v>2</v>
      </c>
      <c r="J843">
        <v>85</v>
      </c>
      <c r="K843">
        <v>0</v>
      </c>
      <c r="L843">
        <v>170</v>
      </c>
      <c r="M843" s="1" t="s">
        <v>20</v>
      </c>
    </row>
    <row r="844" spans="1:13" x14ac:dyDescent="0.3">
      <c r="A844" s="1" t="s">
        <v>135</v>
      </c>
      <c r="B844" s="2">
        <v>46096</v>
      </c>
      <c r="C844" s="1" t="s">
        <v>94</v>
      </c>
      <c r="D844" s="1" t="s">
        <v>49</v>
      </c>
      <c r="E844" s="1" t="s">
        <v>50</v>
      </c>
      <c r="F844" s="1" t="s">
        <v>45</v>
      </c>
      <c r="G844" s="1" t="s">
        <v>95</v>
      </c>
      <c r="H844" s="1" t="s">
        <v>36</v>
      </c>
      <c r="I844">
        <v>4</v>
      </c>
      <c r="J844">
        <v>35</v>
      </c>
      <c r="K844">
        <v>0.15</v>
      </c>
      <c r="L844">
        <v>119</v>
      </c>
      <c r="M844" s="1" t="s">
        <v>33</v>
      </c>
    </row>
    <row r="845" spans="1:13" x14ac:dyDescent="0.3">
      <c r="A845" s="1" t="s">
        <v>135</v>
      </c>
      <c r="B845" s="2">
        <v>46097</v>
      </c>
      <c r="C845" s="1" t="s">
        <v>94</v>
      </c>
      <c r="D845" s="1" t="s">
        <v>30</v>
      </c>
      <c r="E845" s="1" t="s">
        <v>31</v>
      </c>
      <c r="F845" s="1" t="s">
        <v>23</v>
      </c>
      <c r="G845" s="1" t="s">
        <v>95</v>
      </c>
      <c r="H845" s="1" t="s">
        <v>36</v>
      </c>
      <c r="I845">
        <v>4</v>
      </c>
      <c r="J845">
        <v>2800</v>
      </c>
      <c r="K845">
        <v>0</v>
      </c>
      <c r="L845">
        <v>11200</v>
      </c>
      <c r="M845" s="1" t="s">
        <v>20</v>
      </c>
    </row>
    <row r="846" spans="1:13" x14ac:dyDescent="0.3">
      <c r="A846" s="1" t="s">
        <v>135</v>
      </c>
      <c r="B846" s="2">
        <v>46106</v>
      </c>
      <c r="C846" s="1" t="s">
        <v>94</v>
      </c>
      <c r="D846" s="1" t="s">
        <v>72</v>
      </c>
      <c r="E846" s="1" t="s">
        <v>73</v>
      </c>
      <c r="F846" s="1" t="s">
        <v>17</v>
      </c>
      <c r="G846" s="1" t="s">
        <v>95</v>
      </c>
      <c r="H846" s="1" t="s">
        <v>60</v>
      </c>
      <c r="I846">
        <v>1</v>
      </c>
      <c r="J846">
        <v>170</v>
      </c>
      <c r="K846">
        <v>0</v>
      </c>
      <c r="L846">
        <v>170</v>
      </c>
      <c r="M846" s="1" t="s">
        <v>33</v>
      </c>
    </row>
    <row r="847" spans="1:13" x14ac:dyDescent="0.3">
      <c r="A847" s="1" t="s">
        <v>135</v>
      </c>
      <c r="B847" s="2">
        <v>46105</v>
      </c>
      <c r="C847" s="1" t="s">
        <v>94</v>
      </c>
      <c r="D847" s="1" t="s">
        <v>47</v>
      </c>
      <c r="E847" s="1" t="s">
        <v>48</v>
      </c>
      <c r="F847" s="1" t="s">
        <v>45</v>
      </c>
      <c r="G847" s="1" t="s">
        <v>95</v>
      </c>
      <c r="H847" s="1" t="s">
        <v>51</v>
      </c>
      <c r="I847">
        <v>1</v>
      </c>
      <c r="J847">
        <v>85</v>
      </c>
      <c r="K847">
        <v>0</v>
      </c>
      <c r="L847">
        <v>85</v>
      </c>
      <c r="M847" s="1" t="s">
        <v>37</v>
      </c>
    </row>
    <row r="848" spans="1:13" x14ac:dyDescent="0.3">
      <c r="A848" s="1" t="s">
        <v>135</v>
      </c>
      <c r="B848" s="2">
        <v>46087</v>
      </c>
      <c r="C848" s="1" t="s">
        <v>94</v>
      </c>
      <c r="D848" s="1" t="s">
        <v>69</v>
      </c>
      <c r="E848" s="1" t="s">
        <v>70</v>
      </c>
      <c r="F848" s="1" t="s">
        <v>28</v>
      </c>
      <c r="G848" s="1" t="s">
        <v>95</v>
      </c>
      <c r="H848" s="1" t="s">
        <v>52</v>
      </c>
      <c r="I848">
        <v>3</v>
      </c>
      <c r="J848">
        <v>95</v>
      </c>
      <c r="K848">
        <v>0.1</v>
      </c>
      <c r="L848">
        <v>256.5</v>
      </c>
      <c r="M848" s="1" t="s">
        <v>25</v>
      </c>
    </row>
    <row r="849" spans="1:13" x14ac:dyDescent="0.3">
      <c r="A849" s="1" t="s">
        <v>135</v>
      </c>
      <c r="B849" s="2">
        <v>46110</v>
      </c>
      <c r="C849" s="1" t="s">
        <v>94</v>
      </c>
      <c r="D849" s="1" t="s">
        <v>26</v>
      </c>
      <c r="E849" s="1" t="s">
        <v>27</v>
      </c>
      <c r="F849" s="1" t="s">
        <v>28</v>
      </c>
      <c r="G849" s="1" t="s">
        <v>95</v>
      </c>
      <c r="H849" s="1" t="s">
        <v>51</v>
      </c>
      <c r="I849">
        <v>3</v>
      </c>
      <c r="J849">
        <v>180</v>
      </c>
      <c r="K849">
        <v>0</v>
      </c>
      <c r="L849">
        <v>540</v>
      </c>
      <c r="M849" s="1" t="s">
        <v>25</v>
      </c>
    </row>
    <row r="850" spans="1:13" x14ac:dyDescent="0.3">
      <c r="A850" s="1" t="s">
        <v>135</v>
      </c>
      <c r="B850" s="2">
        <v>46087</v>
      </c>
      <c r="C850" s="1" t="s">
        <v>94</v>
      </c>
      <c r="D850" s="1" t="s">
        <v>26</v>
      </c>
      <c r="E850" s="1" t="s">
        <v>27</v>
      </c>
      <c r="F850" s="1" t="s">
        <v>28</v>
      </c>
      <c r="G850" s="1" t="s">
        <v>96</v>
      </c>
      <c r="H850" s="1" t="s">
        <v>56</v>
      </c>
      <c r="I850">
        <v>4</v>
      </c>
      <c r="J850">
        <v>180</v>
      </c>
      <c r="K850">
        <v>0</v>
      </c>
      <c r="L850">
        <v>720</v>
      </c>
      <c r="M850" s="1" t="s">
        <v>33</v>
      </c>
    </row>
    <row r="851" spans="1:13" x14ac:dyDescent="0.3">
      <c r="A851" s="1" t="s">
        <v>135</v>
      </c>
      <c r="B851" s="2">
        <v>46104</v>
      </c>
      <c r="C851" s="1" t="s">
        <v>94</v>
      </c>
      <c r="D851" s="1" t="s">
        <v>30</v>
      </c>
      <c r="E851" s="1" t="s">
        <v>31</v>
      </c>
      <c r="F851" s="1" t="s">
        <v>23</v>
      </c>
      <c r="G851" s="1" t="s">
        <v>96</v>
      </c>
      <c r="H851" s="1" t="s">
        <v>24</v>
      </c>
      <c r="I851">
        <v>1</v>
      </c>
      <c r="J851">
        <v>2800</v>
      </c>
      <c r="K851">
        <v>0.05</v>
      </c>
      <c r="L851">
        <v>2660</v>
      </c>
      <c r="M851" s="1" t="s">
        <v>20</v>
      </c>
    </row>
    <row r="852" spans="1:13" x14ac:dyDescent="0.3">
      <c r="A852" s="1" t="s">
        <v>135</v>
      </c>
      <c r="B852" s="2">
        <v>46084</v>
      </c>
      <c r="C852" s="1" t="s">
        <v>94</v>
      </c>
      <c r="D852" s="1" t="s">
        <v>49</v>
      </c>
      <c r="E852" s="1" t="s">
        <v>50</v>
      </c>
      <c r="F852" s="1" t="s">
        <v>45</v>
      </c>
      <c r="G852" s="1" t="s">
        <v>96</v>
      </c>
      <c r="H852" s="1" t="s">
        <v>80</v>
      </c>
      <c r="I852">
        <v>2</v>
      </c>
      <c r="J852">
        <v>35</v>
      </c>
      <c r="K852">
        <v>0</v>
      </c>
      <c r="L852">
        <v>70</v>
      </c>
      <c r="M852" s="1" t="s">
        <v>25</v>
      </c>
    </row>
    <row r="853" spans="1:13" x14ac:dyDescent="0.3">
      <c r="A853" s="1" t="s">
        <v>135</v>
      </c>
      <c r="B853" s="2">
        <v>46107</v>
      </c>
      <c r="C853" s="1" t="s">
        <v>94</v>
      </c>
      <c r="D853" s="1" t="s">
        <v>30</v>
      </c>
      <c r="E853" s="1" t="s">
        <v>31</v>
      </c>
      <c r="F853" s="1" t="s">
        <v>23</v>
      </c>
      <c r="G853" s="1" t="s">
        <v>95</v>
      </c>
      <c r="H853" s="1" t="s">
        <v>77</v>
      </c>
      <c r="I853">
        <v>2</v>
      </c>
      <c r="J853">
        <v>2800</v>
      </c>
      <c r="K853">
        <v>0.05</v>
      </c>
      <c r="L853">
        <v>5320</v>
      </c>
      <c r="M853" s="1" t="s">
        <v>20</v>
      </c>
    </row>
    <row r="854" spans="1:13" x14ac:dyDescent="0.3">
      <c r="A854" s="1" t="s">
        <v>135</v>
      </c>
      <c r="B854" s="2">
        <v>46096</v>
      </c>
      <c r="C854" s="1" t="s">
        <v>94</v>
      </c>
      <c r="D854" s="1" t="s">
        <v>57</v>
      </c>
      <c r="E854" s="1" t="s">
        <v>58</v>
      </c>
      <c r="F854" s="1" t="s">
        <v>17</v>
      </c>
      <c r="G854" s="1" t="s">
        <v>95</v>
      </c>
      <c r="H854" s="1" t="s">
        <v>87</v>
      </c>
      <c r="I854">
        <v>3</v>
      </c>
      <c r="J854">
        <v>45</v>
      </c>
      <c r="K854">
        <v>0.1</v>
      </c>
      <c r="L854">
        <v>121.5</v>
      </c>
      <c r="M854" s="1" t="s">
        <v>37</v>
      </c>
    </row>
    <row r="855" spans="1:13" x14ac:dyDescent="0.3">
      <c r="A855" s="1" t="s">
        <v>135</v>
      </c>
      <c r="B855" s="2">
        <v>46083</v>
      </c>
      <c r="C855" s="1" t="s">
        <v>94</v>
      </c>
      <c r="D855" s="1" t="s">
        <v>69</v>
      </c>
      <c r="E855" s="1" t="s">
        <v>70</v>
      </c>
      <c r="F855" s="1" t="s">
        <v>28</v>
      </c>
      <c r="G855" s="1" t="s">
        <v>96</v>
      </c>
      <c r="H855" s="1" t="s">
        <v>52</v>
      </c>
      <c r="I855">
        <v>2</v>
      </c>
      <c r="J855">
        <v>95</v>
      </c>
      <c r="K855">
        <v>0</v>
      </c>
      <c r="L855">
        <v>190</v>
      </c>
      <c r="M855" s="1" t="s">
        <v>20</v>
      </c>
    </row>
    <row r="856" spans="1:13" x14ac:dyDescent="0.3">
      <c r="A856" s="1" t="s">
        <v>135</v>
      </c>
      <c r="B856" s="2">
        <v>46087</v>
      </c>
      <c r="C856" s="1" t="s">
        <v>94</v>
      </c>
      <c r="D856" s="1" t="s">
        <v>65</v>
      </c>
      <c r="E856" s="1" t="s">
        <v>66</v>
      </c>
      <c r="F856" s="1" t="s">
        <v>40</v>
      </c>
      <c r="G856" s="1" t="s">
        <v>96</v>
      </c>
      <c r="H856" s="1" t="s">
        <v>60</v>
      </c>
      <c r="I856">
        <v>4</v>
      </c>
      <c r="J856">
        <v>210</v>
      </c>
      <c r="K856">
        <v>0</v>
      </c>
      <c r="L856">
        <v>840</v>
      </c>
      <c r="M856" s="1" t="s">
        <v>20</v>
      </c>
    </row>
    <row r="857" spans="1:13" x14ac:dyDescent="0.3">
      <c r="A857" s="1" t="s">
        <v>135</v>
      </c>
      <c r="B857" s="2">
        <v>46099</v>
      </c>
      <c r="C857" s="1" t="s">
        <v>94</v>
      </c>
      <c r="D857" s="1" t="s">
        <v>72</v>
      </c>
      <c r="E857" s="1" t="s">
        <v>73</v>
      </c>
      <c r="F857" s="1" t="s">
        <v>17</v>
      </c>
      <c r="G857" s="1" t="s">
        <v>95</v>
      </c>
      <c r="H857" s="1" t="s">
        <v>24</v>
      </c>
      <c r="I857">
        <v>5</v>
      </c>
      <c r="J857">
        <v>170</v>
      </c>
      <c r="K857">
        <v>0.1</v>
      </c>
      <c r="L857">
        <v>765</v>
      </c>
      <c r="M857" s="1" t="s">
        <v>37</v>
      </c>
    </row>
    <row r="858" spans="1:13" x14ac:dyDescent="0.3">
      <c r="A858" s="1" t="s">
        <v>135</v>
      </c>
      <c r="B858" s="2">
        <v>46096</v>
      </c>
      <c r="C858" s="1" t="s">
        <v>94</v>
      </c>
      <c r="D858" s="1" t="s">
        <v>34</v>
      </c>
      <c r="E858" s="1" t="s">
        <v>35</v>
      </c>
      <c r="F858" s="1" t="s">
        <v>28</v>
      </c>
      <c r="G858" s="1" t="s">
        <v>95</v>
      </c>
      <c r="H858" s="1" t="s">
        <v>71</v>
      </c>
      <c r="I858">
        <v>3</v>
      </c>
      <c r="J858">
        <v>120</v>
      </c>
      <c r="K858">
        <v>0</v>
      </c>
      <c r="L858">
        <v>360</v>
      </c>
      <c r="M858" s="1" t="s">
        <v>37</v>
      </c>
    </row>
    <row r="859" spans="1:13" x14ac:dyDescent="0.3">
      <c r="A859" s="1" t="s">
        <v>135</v>
      </c>
      <c r="B859" s="2">
        <v>46093</v>
      </c>
      <c r="C859" s="1" t="s">
        <v>94</v>
      </c>
      <c r="D859" s="1" t="s">
        <v>47</v>
      </c>
      <c r="E859" s="1" t="s">
        <v>48</v>
      </c>
      <c r="F859" s="1" t="s">
        <v>45</v>
      </c>
      <c r="G859" s="1" t="s">
        <v>95</v>
      </c>
      <c r="H859" s="1" t="s">
        <v>19</v>
      </c>
      <c r="I859">
        <v>1</v>
      </c>
      <c r="J859">
        <v>85</v>
      </c>
      <c r="K859">
        <v>0.05</v>
      </c>
      <c r="L859">
        <v>80.75</v>
      </c>
      <c r="M859" s="1" t="s">
        <v>37</v>
      </c>
    </row>
    <row r="860" spans="1:13" x14ac:dyDescent="0.3">
      <c r="A860" s="1" t="s">
        <v>135</v>
      </c>
      <c r="B860" s="2">
        <v>46086</v>
      </c>
      <c r="C860" s="1" t="s">
        <v>94</v>
      </c>
      <c r="D860" s="1" t="s">
        <v>21</v>
      </c>
      <c r="E860" s="1" t="s">
        <v>22</v>
      </c>
      <c r="F860" s="1" t="s">
        <v>23</v>
      </c>
      <c r="G860" s="1" t="s">
        <v>96</v>
      </c>
      <c r="H860" s="1" t="s">
        <v>75</v>
      </c>
      <c r="I860">
        <v>4</v>
      </c>
      <c r="J860">
        <v>220</v>
      </c>
      <c r="K860">
        <v>0.05</v>
      </c>
      <c r="L860">
        <v>836</v>
      </c>
      <c r="M860" s="1" t="s">
        <v>20</v>
      </c>
    </row>
    <row r="861" spans="1:13" x14ac:dyDescent="0.3">
      <c r="A861" s="1" t="s">
        <v>135</v>
      </c>
      <c r="B861" s="2">
        <v>46083</v>
      </c>
      <c r="C861" s="1" t="s">
        <v>94</v>
      </c>
      <c r="D861" s="1" t="s">
        <v>54</v>
      </c>
      <c r="E861" s="1" t="s">
        <v>55</v>
      </c>
      <c r="F861" s="1" t="s">
        <v>23</v>
      </c>
      <c r="G861" s="1" t="s">
        <v>95</v>
      </c>
      <c r="H861" s="1" t="s">
        <v>82</v>
      </c>
      <c r="I861">
        <v>5</v>
      </c>
      <c r="J861">
        <v>75</v>
      </c>
      <c r="K861">
        <v>0.05</v>
      </c>
      <c r="L861">
        <v>356.25</v>
      </c>
      <c r="M861" s="1" t="s">
        <v>33</v>
      </c>
    </row>
    <row r="862" spans="1:13" x14ac:dyDescent="0.3">
      <c r="A862" s="1" t="s">
        <v>135</v>
      </c>
      <c r="B862" s="2">
        <v>46100</v>
      </c>
      <c r="C862" s="1" t="s">
        <v>94</v>
      </c>
      <c r="D862" s="1" t="s">
        <v>54</v>
      </c>
      <c r="E862" s="1" t="s">
        <v>55</v>
      </c>
      <c r="F862" s="1" t="s">
        <v>23</v>
      </c>
      <c r="G862" s="1" t="s">
        <v>96</v>
      </c>
      <c r="H862" s="1" t="s">
        <v>71</v>
      </c>
      <c r="I862">
        <v>2</v>
      </c>
      <c r="J862">
        <v>75</v>
      </c>
      <c r="K862">
        <v>0</v>
      </c>
      <c r="L862">
        <v>150</v>
      </c>
      <c r="M862" s="1" t="s">
        <v>20</v>
      </c>
    </row>
    <row r="863" spans="1:13" x14ac:dyDescent="0.3">
      <c r="A863" s="1" t="s">
        <v>135</v>
      </c>
      <c r="B863" s="2">
        <v>46084</v>
      </c>
      <c r="C863" s="1" t="s">
        <v>94</v>
      </c>
      <c r="D863" s="1" t="s">
        <v>30</v>
      </c>
      <c r="E863" s="1" t="s">
        <v>31</v>
      </c>
      <c r="F863" s="1" t="s">
        <v>23</v>
      </c>
      <c r="G863" s="1" t="s">
        <v>95</v>
      </c>
      <c r="H863" s="1" t="s">
        <v>51</v>
      </c>
      <c r="I863">
        <v>2</v>
      </c>
      <c r="J863">
        <v>2800</v>
      </c>
      <c r="K863">
        <v>0.05</v>
      </c>
      <c r="L863">
        <v>5320</v>
      </c>
      <c r="M863" s="1" t="s">
        <v>37</v>
      </c>
    </row>
    <row r="864" spans="1:13" x14ac:dyDescent="0.3">
      <c r="A864" s="1" t="s">
        <v>135</v>
      </c>
      <c r="B864" s="2">
        <v>46102</v>
      </c>
      <c r="C864" s="1" t="s">
        <v>94</v>
      </c>
      <c r="D864" s="1" t="s">
        <v>15</v>
      </c>
      <c r="E864" s="1" t="s">
        <v>16</v>
      </c>
      <c r="F864" s="1" t="s">
        <v>17</v>
      </c>
      <c r="G864" s="1" t="s">
        <v>95</v>
      </c>
      <c r="H864" s="1" t="s">
        <v>59</v>
      </c>
      <c r="I864">
        <v>1</v>
      </c>
      <c r="J864">
        <v>60</v>
      </c>
      <c r="K864">
        <v>0</v>
      </c>
      <c r="L864">
        <v>60</v>
      </c>
      <c r="M864" s="1" t="s">
        <v>37</v>
      </c>
    </row>
    <row r="865" spans="1:13" x14ac:dyDescent="0.3">
      <c r="A865" s="1" t="s">
        <v>135</v>
      </c>
      <c r="B865" s="2">
        <v>46090</v>
      </c>
      <c r="C865" s="1" t="s">
        <v>94</v>
      </c>
      <c r="D865" s="1" t="s">
        <v>72</v>
      </c>
      <c r="E865" s="1" t="s">
        <v>73</v>
      </c>
      <c r="F865" s="1" t="s">
        <v>17</v>
      </c>
      <c r="G865" s="1" t="s">
        <v>95</v>
      </c>
      <c r="H865" s="1" t="s">
        <v>36</v>
      </c>
      <c r="I865">
        <v>1</v>
      </c>
      <c r="J865">
        <v>170</v>
      </c>
      <c r="K865">
        <v>0.1</v>
      </c>
      <c r="L865">
        <v>153</v>
      </c>
      <c r="M865" s="1" t="s">
        <v>20</v>
      </c>
    </row>
    <row r="866" spans="1:13" x14ac:dyDescent="0.3">
      <c r="A866" s="1" t="s">
        <v>135</v>
      </c>
      <c r="B866" s="2">
        <v>46085</v>
      </c>
      <c r="C866" s="1" t="s">
        <v>94</v>
      </c>
      <c r="D866" s="1" t="s">
        <v>54</v>
      </c>
      <c r="E866" s="1" t="s">
        <v>55</v>
      </c>
      <c r="F866" s="1" t="s">
        <v>23</v>
      </c>
      <c r="G866" s="1" t="s">
        <v>95</v>
      </c>
      <c r="H866" s="1" t="s">
        <v>52</v>
      </c>
      <c r="I866">
        <v>2</v>
      </c>
      <c r="J866">
        <v>75</v>
      </c>
      <c r="K866">
        <v>0.15</v>
      </c>
      <c r="L866">
        <v>127.5</v>
      </c>
      <c r="M866" s="1" t="s">
        <v>37</v>
      </c>
    </row>
    <row r="867" spans="1:13" x14ac:dyDescent="0.3">
      <c r="A867" s="1" t="s">
        <v>135</v>
      </c>
      <c r="B867" s="2">
        <v>46100</v>
      </c>
      <c r="C867" s="1" t="s">
        <v>94</v>
      </c>
      <c r="D867" s="1" t="s">
        <v>21</v>
      </c>
      <c r="E867" s="1" t="s">
        <v>22</v>
      </c>
      <c r="F867" s="1" t="s">
        <v>23</v>
      </c>
      <c r="G867" s="1" t="s">
        <v>95</v>
      </c>
      <c r="H867" s="1" t="s">
        <v>52</v>
      </c>
      <c r="I867">
        <v>5</v>
      </c>
      <c r="J867">
        <v>220</v>
      </c>
      <c r="K867">
        <v>0.05</v>
      </c>
      <c r="L867">
        <v>1045</v>
      </c>
      <c r="M867" s="1" t="s">
        <v>37</v>
      </c>
    </row>
    <row r="868" spans="1:13" x14ac:dyDescent="0.3">
      <c r="A868" s="1" t="s">
        <v>135</v>
      </c>
      <c r="B868" s="2">
        <v>46096</v>
      </c>
      <c r="C868" s="1" t="s">
        <v>94</v>
      </c>
      <c r="D868" s="1" t="s">
        <v>47</v>
      </c>
      <c r="E868" s="1" t="s">
        <v>48</v>
      </c>
      <c r="F868" s="1" t="s">
        <v>45</v>
      </c>
      <c r="G868" s="1" t="s">
        <v>96</v>
      </c>
      <c r="H868" s="1" t="s">
        <v>83</v>
      </c>
      <c r="I868">
        <v>5</v>
      </c>
      <c r="J868">
        <v>85</v>
      </c>
      <c r="K868">
        <v>0</v>
      </c>
      <c r="L868">
        <v>425</v>
      </c>
      <c r="M868" s="1" t="s">
        <v>33</v>
      </c>
    </row>
    <row r="869" spans="1:13" x14ac:dyDescent="0.3">
      <c r="A869" s="1" t="s">
        <v>135</v>
      </c>
      <c r="B869" s="2">
        <v>46087</v>
      </c>
      <c r="C869" s="1" t="s">
        <v>94</v>
      </c>
      <c r="D869" s="1" t="s">
        <v>65</v>
      </c>
      <c r="E869" s="1" t="s">
        <v>66</v>
      </c>
      <c r="F869" s="1" t="s">
        <v>40</v>
      </c>
      <c r="G869" s="1" t="s">
        <v>96</v>
      </c>
      <c r="H869" s="1" t="s">
        <v>81</v>
      </c>
      <c r="I869">
        <v>5</v>
      </c>
      <c r="J869">
        <v>210</v>
      </c>
      <c r="K869">
        <v>0</v>
      </c>
      <c r="L869">
        <v>1050</v>
      </c>
      <c r="M869" s="1" t="s">
        <v>20</v>
      </c>
    </row>
    <row r="870" spans="1:13" x14ac:dyDescent="0.3">
      <c r="A870" s="1" t="s">
        <v>135</v>
      </c>
      <c r="B870" s="2">
        <v>46095</v>
      </c>
      <c r="C870" s="1" t="s">
        <v>94</v>
      </c>
      <c r="D870" s="1" t="s">
        <v>65</v>
      </c>
      <c r="E870" s="1" t="s">
        <v>66</v>
      </c>
      <c r="F870" s="1" t="s">
        <v>40</v>
      </c>
      <c r="G870" s="1" t="s">
        <v>96</v>
      </c>
      <c r="H870" s="1" t="s">
        <v>53</v>
      </c>
      <c r="I870">
        <v>3</v>
      </c>
      <c r="J870">
        <v>210</v>
      </c>
      <c r="K870">
        <v>0.1</v>
      </c>
      <c r="L870">
        <v>567</v>
      </c>
      <c r="M870" s="1" t="s">
        <v>33</v>
      </c>
    </row>
    <row r="871" spans="1:13" x14ac:dyDescent="0.3">
      <c r="A871" s="1" t="s">
        <v>135</v>
      </c>
      <c r="B871" s="2">
        <v>46099</v>
      </c>
      <c r="C871" s="1" t="s">
        <v>94</v>
      </c>
      <c r="D871" s="1" t="s">
        <v>38</v>
      </c>
      <c r="E871" s="1" t="s">
        <v>39</v>
      </c>
      <c r="F871" s="1" t="s">
        <v>40</v>
      </c>
      <c r="G871" s="1" t="s">
        <v>96</v>
      </c>
      <c r="H871" s="1" t="s">
        <v>60</v>
      </c>
      <c r="I871">
        <v>2</v>
      </c>
      <c r="J871">
        <v>55</v>
      </c>
      <c r="K871">
        <v>0</v>
      </c>
      <c r="L871">
        <v>110</v>
      </c>
      <c r="M871" s="1" t="s">
        <v>37</v>
      </c>
    </row>
    <row r="872" spans="1:13" x14ac:dyDescent="0.3">
      <c r="A872" s="1" t="s">
        <v>135</v>
      </c>
      <c r="B872" s="2">
        <v>46091</v>
      </c>
      <c r="C872" s="1" t="s">
        <v>94</v>
      </c>
      <c r="D872" s="1" t="s">
        <v>57</v>
      </c>
      <c r="E872" s="1" t="s">
        <v>58</v>
      </c>
      <c r="F872" s="1" t="s">
        <v>17</v>
      </c>
      <c r="G872" s="1" t="s">
        <v>95</v>
      </c>
      <c r="H872" s="1" t="s">
        <v>81</v>
      </c>
      <c r="I872">
        <v>1</v>
      </c>
      <c r="J872">
        <v>45</v>
      </c>
      <c r="K872">
        <v>0.05</v>
      </c>
      <c r="L872">
        <v>42.75</v>
      </c>
      <c r="M872" s="1" t="s">
        <v>20</v>
      </c>
    </row>
    <row r="873" spans="1:13" x14ac:dyDescent="0.3">
      <c r="A873" s="1" t="s">
        <v>135</v>
      </c>
      <c r="B873" s="2">
        <v>46092</v>
      </c>
      <c r="C873" s="1" t="s">
        <v>94</v>
      </c>
      <c r="D873" s="1" t="s">
        <v>30</v>
      </c>
      <c r="E873" s="1" t="s">
        <v>31</v>
      </c>
      <c r="F873" s="1" t="s">
        <v>23</v>
      </c>
      <c r="G873" s="1" t="s">
        <v>95</v>
      </c>
      <c r="H873" s="1" t="s">
        <v>67</v>
      </c>
      <c r="I873">
        <v>2</v>
      </c>
      <c r="J873">
        <v>2800</v>
      </c>
      <c r="K873">
        <v>0</v>
      </c>
      <c r="L873">
        <v>5600</v>
      </c>
      <c r="M873" s="1" t="s">
        <v>20</v>
      </c>
    </row>
    <row r="874" spans="1:13" x14ac:dyDescent="0.3">
      <c r="A874" s="1" t="s">
        <v>135</v>
      </c>
      <c r="B874" s="2">
        <v>46111</v>
      </c>
      <c r="C874" s="1" t="s">
        <v>94</v>
      </c>
      <c r="D874" s="1" t="s">
        <v>15</v>
      </c>
      <c r="E874" s="1" t="s">
        <v>16</v>
      </c>
      <c r="F874" s="1" t="s">
        <v>17</v>
      </c>
      <c r="G874" s="1" t="s">
        <v>95</v>
      </c>
      <c r="H874" s="1" t="s">
        <v>60</v>
      </c>
      <c r="I874">
        <v>5</v>
      </c>
      <c r="J874">
        <v>60</v>
      </c>
      <c r="K874">
        <v>0.05</v>
      </c>
      <c r="L874">
        <v>285</v>
      </c>
      <c r="M874" s="1" t="s">
        <v>20</v>
      </c>
    </row>
    <row r="875" spans="1:13" x14ac:dyDescent="0.3">
      <c r="A875" s="1" t="s">
        <v>135</v>
      </c>
      <c r="B875" s="2">
        <v>46100</v>
      </c>
      <c r="C875" s="1" t="s">
        <v>94</v>
      </c>
      <c r="D875" s="1" t="s">
        <v>21</v>
      </c>
      <c r="E875" s="1" t="s">
        <v>22</v>
      </c>
      <c r="F875" s="1" t="s">
        <v>23</v>
      </c>
      <c r="G875" s="1" t="s">
        <v>95</v>
      </c>
      <c r="H875" s="1" t="s">
        <v>63</v>
      </c>
      <c r="I875">
        <v>3</v>
      </c>
      <c r="J875">
        <v>220</v>
      </c>
      <c r="K875">
        <v>0</v>
      </c>
      <c r="L875">
        <v>660</v>
      </c>
      <c r="M875" s="1" t="s">
        <v>20</v>
      </c>
    </row>
    <row r="876" spans="1:13" x14ac:dyDescent="0.3">
      <c r="A876" s="1" t="s">
        <v>135</v>
      </c>
      <c r="B876" s="2">
        <v>46088</v>
      </c>
      <c r="C876" s="1" t="s">
        <v>94</v>
      </c>
      <c r="D876" s="1" t="s">
        <v>54</v>
      </c>
      <c r="E876" s="1" t="s">
        <v>55</v>
      </c>
      <c r="F876" s="1" t="s">
        <v>23</v>
      </c>
      <c r="G876" s="1" t="s">
        <v>95</v>
      </c>
      <c r="H876" s="1" t="s">
        <v>63</v>
      </c>
      <c r="I876">
        <v>4</v>
      </c>
      <c r="J876">
        <v>75</v>
      </c>
      <c r="K876">
        <v>0.05</v>
      </c>
      <c r="L876">
        <v>285</v>
      </c>
      <c r="M876" s="1" t="s">
        <v>37</v>
      </c>
    </row>
    <row r="877" spans="1:13" x14ac:dyDescent="0.3">
      <c r="A877" s="1" t="s">
        <v>135</v>
      </c>
      <c r="B877" s="2">
        <v>46085</v>
      </c>
      <c r="C877" s="1" t="s">
        <v>94</v>
      </c>
      <c r="D877" s="1" t="s">
        <v>21</v>
      </c>
      <c r="E877" s="1" t="s">
        <v>22</v>
      </c>
      <c r="F877" s="1" t="s">
        <v>23</v>
      </c>
      <c r="G877" s="1" t="s">
        <v>96</v>
      </c>
      <c r="H877" s="1" t="s">
        <v>63</v>
      </c>
      <c r="I877">
        <v>5</v>
      </c>
      <c r="J877">
        <v>220</v>
      </c>
      <c r="K877">
        <v>0.1</v>
      </c>
      <c r="L877">
        <v>990</v>
      </c>
      <c r="M877" s="1" t="s">
        <v>37</v>
      </c>
    </row>
    <row r="878" spans="1:13" x14ac:dyDescent="0.3">
      <c r="A878" s="1" t="s">
        <v>135</v>
      </c>
      <c r="B878" s="2">
        <v>46092</v>
      </c>
      <c r="C878" s="1" t="s">
        <v>94</v>
      </c>
      <c r="D878" s="1" t="s">
        <v>54</v>
      </c>
      <c r="E878" s="1" t="s">
        <v>55</v>
      </c>
      <c r="F878" s="1" t="s">
        <v>23</v>
      </c>
      <c r="G878" s="1" t="s">
        <v>96</v>
      </c>
      <c r="H878" s="1" t="s">
        <v>78</v>
      </c>
      <c r="I878">
        <v>1</v>
      </c>
      <c r="J878">
        <v>75</v>
      </c>
      <c r="K878">
        <v>0.1</v>
      </c>
      <c r="L878">
        <v>67.5</v>
      </c>
      <c r="M878" s="1" t="s">
        <v>37</v>
      </c>
    </row>
    <row r="879" spans="1:13" x14ac:dyDescent="0.3">
      <c r="A879" s="1" t="s">
        <v>135</v>
      </c>
      <c r="B879" s="2">
        <v>46089</v>
      </c>
      <c r="C879" s="1" t="s">
        <v>94</v>
      </c>
      <c r="D879" s="1" t="s">
        <v>15</v>
      </c>
      <c r="E879" s="1" t="s">
        <v>16</v>
      </c>
      <c r="F879" s="1" t="s">
        <v>17</v>
      </c>
      <c r="G879" s="1" t="s">
        <v>95</v>
      </c>
      <c r="H879" s="1" t="s">
        <v>75</v>
      </c>
      <c r="I879">
        <v>1</v>
      </c>
      <c r="J879">
        <v>60</v>
      </c>
      <c r="K879">
        <v>0.1</v>
      </c>
      <c r="L879">
        <v>54</v>
      </c>
      <c r="M879" s="1" t="s">
        <v>37</v>
      </c>
    </row>
    <row r="880" spans="1:13" x14ac:dyDescent="0.3">
      <c r="A880" s="1" t="s">
        <v>135</v>
      </c>
      <c r="B880" s="2">
        <v>46099</v>
      </c>
      <c r="C880" s="1" t="s">
        <v>94</v>
      </c>
      <c r="D880" s="1" t="s">
        <v>30</v>
      </c>
      <c r="E880" s="1" t="s">
        <v>31</v>
      </c>
      <c r="F880" s="1" t="s">
        <v>23</v>
      </c>
      <c r="G880" s="1" t="s">
        <v>95</v>
      </c>
      <c r="H880" s="1" t="s">
        <v>67</v>
      </c>
      <c r="I880">
        <v>5</v>
      </c>
      <c r="J880">
        <v>2800</v>
      </c>
      <c r="K880">
        <v>0</v>
      </c>
      <c r="L880">
        <v>14000</v>
      </c>
      <c r="M880" s="1" t="s">
        <v>33</v>
      </c>
    </row>
    <row r="881" spans="1:13" x14ac:dyDescent="0.3">
      <c r="A881" s="1" t="s">
        <v>135</v>
      </c>
      <c r="B881" s="2">
        <v>46106</v>
      </c>
      <c r="C881" s="1" t="s">
        <v>94</v>
      </c>
      <c r="D881" s="1" t="s">
        <v>54</v>
      </c>
      <c r="E881" s="1" t="s">
        <v>55</v>
      </c>
      <c r="F881" s="1" t="s">
        <v>23</v>
      </c>
      <c r="G881" s="1" t="s">
        <v>95</v>
      </c>
      <c r="H881" s="1" t="s">
        <v>32</v>
      </c>
      <c r="I881">
        <v>4</v>
      </c>
      <c r="J881">
        <v>75</v>
      </c>
      <c r="K881">
        <v>0.15</v>
      </c>
      <c r="L881">
        <v>255</v>
      </c>
      <c r="M881" s="1" t="s">
        <v>37</v>
      </c>
    </row>
    <row r="882" spans="1:13" x14ac:dyDescent="0.3">
      <c r="A882" s="1" t="s">
        <v>135</v>
      </c>
      <c r="B882" s="2">
        <v>46100</v>
      </c>
      <c r="C882" s="1" t="s">
        <v>94</v>
      </c>
      <c r="D882" s="1" t="s">
        <v>54</v>
      </c>
      <c r="E882" s="1" t="s">
        <v>55</v>
      </c>
      <c r="F882" s="1" t="s">
        <v>23</v>
      </c>
      <c r="G882" s="1" t="s">
        <v>95</v>
      </c>
      <c r="H882" s="1" t="s">
        <v>85</v>
      </c>
      <c r="I882">
        <v>3</v>
      </c>
      <c r="J882">
        <v>75</v>
      </c>
      <c r="K882">
        <v>0</v>
      </c>
      <c r="L882">
        <v>225</v>
      </c>
      <c r="M882" s="1" t="s">
        <v>25</v>
      </c>
    </row>
    <row r="883" spans="1:13" x14ac:dyDescent="0.3">
      <c r="A883" s="1" t="s">
        <v>135</v>
      </c>
      <c r="B883" s="2">
        <v>46086</v>
      </c>
      <c r="C883" s="1" t="s">
        <v>94</v>
      </c>
      <c r="D883" s="1" t="s">
        <v>69</v>
      </c>
      <c r="E883" s="1" t="s">
        <v>70</v>
      </c>
      <c r="F883" s="1" t="s">
        <v>28</v>
      </c>
      <c r="G883" s="1" t="s">
        <v>95</v>
      </c>
      <c r="H883" s="1" t="s">
        <v>51</v>
      </c>
      <c r="I883">
        <v>4</v>
      </c>
      <c r="J883">
        <v>95</v>
      </c>
      <c r="K883">
        <v>0.05</v>
      </c>
      <c r="L883">
        <v>361</v>
      </c>
      <c r="M883" s="1" t="s">
        <v>37</v>
      </c>
    </row>
    <row r="884" spans="1:13" x14ac:dyDescent="0.3">
      <c r="A884" s="1" t="s">
        <v>135</v>
      </c>
      <c r="B884" s="2">
        <v>46101</v>
      </c>
      <c r="C884" s="1" t="s">
        <v>94</v>
      </c>
      <c r="D884" s="1" t="s">
        <v>69</v>
      </c>
      <c r="E884" s="1" t="s">
        <v>70</v>
      </c>
      <c r="F884" s="1" t="s">
        <v>28</v>
      </c>
      <c r="G884" s="1" t="s">
        <v>95</v>
      </c>
      <c r="H884" s="1" t="s">
        <v>85</v>
      </c>
      <c r="I884">
        <v>5</v>
      </c>
      <c r="J884">
        <v>95</v>
      </c>
      <c r="K884">
        <v>0</v>
      </c>
      <c r="L884">
        <v>475</v>
      </c>
      <c r="M884" s="1" t="s">
        <v>37</v>
      </c>
    </row>
    <row r="885" spans="1:13" x14ac:dyDescent="0.3">
      <c r="A885" s="1" t="s">
        <v>135</v>
      </c>
      <c r="B885" s="2">
        <v>46103</v>
      </c>
      <c r="C885" s="1" t="s">
        <v>94</v>
      </c>
      <c r="D885" s="1" t="s">
        <v>34</v>
      </c>
      <c r="E885" s="1" t="s">
        <v>35</v>
      </c>
      <c r="F885" s="1" t="s">
        <v>28</v>
      </c>
      <c r="G885" s="1" t="s">
        <v>96</v>
      </c>
      <c r="H885" s="1" t="s">
        <v>46</v>
      </c>
      <c r="I885">
        <v>5</v>
      </c>
      <c r="J885">
        <v>120</v>
      </c>
      <c r="K885">
        <v>0</v>
      </c>
      <c r="L885">
        <v>600</v>
      </c>
      <c r="M885" s="1" t="s">
        <v>33</v>
      </c>
    </row>
    <row r="886" spans="1:13" x14ac:dyDescent="0.3">
      <c r="A886" s="1" t="s">
        <v>135</v>
      </c>
      <c r="B886" s="2">
        <v>46106</v>
      </c>
      <c r="C886" s="1" t="s">
        <v>94</v>
      </c>
      <c r="D886" s="1" t="s">
        <v>34</v>
      </c>
      <c r="E886" s="1" t="s">
        <v>35</v>
      </c>
      <c r="F886" s="1" t="s">
        <v>28</v>
      </c>
      <c r="G886" s="1" t="s">
        <v>96</v>
      </c>
      <c r="H886" s="1" t="s">
        <v>46</v>
      </c>
      <c r="I886">
        <v>5</v>
      </c>
      <c r="J886">
        <v>120</v>
      </c>
      <c r="K886">
        <v>0.05</v>
      </c>
      <c r="L886">
        <v>570</v>
      </c>
      <c r="M886" s="1" t="s">
        <v>37</v>
      </c>
    </row>
    <row r="887" spans="1:13" x14ac:dyDescent="0.3">
      <c r="A887" s="1" t="s">
        <v>135</v>
      </c>
      <c r="B887" s="2">
        <v>46108</v>
      </c>
      <c r="C887" s="1" t="s">
        <v>94</v>
      </c>
      <c r="D887" s="1" t="s">
        <v>38</v>
      </c>
      <c r="E887" s="1" t="s">
        <v>39</v>
      </c>
      <c r="F887" s="1" t="s">
        <v>40</v>
      </c>
      <c r="G887" s="1" t="s">
        <v>95</v>
      </c>
      <c r="H887" s="1" t="s">
        <v>46</v>
      </c>
      <c r="I887">
        <v>4</v>
      </c>
      <c r="J887">
        <v>55</v>
      </c>
      <c r="K887">
        <v>0</v>
      </c>
      <c r="L887">
        <v>220</v>
      </c>
      <c r="M887" s="1" t="s">
        <v>33</v>
      </c>
    </row>
    <row r="888" spans="1:13" x14ac:dyDescent="0.3">
      <c r="A888" s="1" t="s">
        <v>135</v>
      </c>
      <c r="B888" s="2">
        <v>46083</v>
      </c>
      <c r="C888" s="1" t="s">
        <v>94</v>
      </c>
      <c r="D888" s="1" t="s">
        <v>49</v>
      </c>
      <c r="E888" s="1" t="s">
        <v>50</v>
      </c>
      <c r="F888" s="1" t="s">
        <v>45</v>
      </c>
      <c r="G888" s="1" t="s">
        <v>95</v>
      </c>
      <c r="H888" s="1" t="s">
        <v>68</v>
      </c>
      <c r="I888">
        <v>1</v>
      </c>
      <c r="J888">
        <v>35</v>
      </c>
      <c r="K888">
        <v>0</v>
      </c>
      <c r="L888">
        <v>35</v>
      </c>
      <c r="M888" s="1" t="s">
        <v>33</v>
      </c>
    </row>
    <row r="889" spans="1:13" x14ac:dyDescent="0.3">
      <c r="A889" s="1" t="s">
        <v>135</v>
      </c>
      <c r="B889" s="2">
        <v>46104</v>
      </c>
      <c r="C889" s="1" t="s">
        <v>94</v>
      </c>
      <c r="D889" s="1" t="s">
        <v>72</v>
      </c>
      <c r="E889" s="1" t="s">
        <v>73</v>
      </c>
      <c r="F889" s="1" t="s">
        <v>17</v>
      </c>
      <c r="G889" s="1" t="s">
        <v>95</v>
      </c>
      <c r="H889" s="1" t="s">
        <v>42</v>
      </c>
      <c r="I889">
        <v>3</v>
      </c>
      <c r="J889">
        <v>170</v>
      </c>
      <c r="K889">
        <v>0</v>
      </c>
      <c r="L889">
        <v>510</v>
      </c>
      <c r="M889" s="1" t="s">
        <v>25</v>
      </c>
    </row>
    <row r="890" spans="1:13" x14ac:dyDescent="0.3">
      <c r="A890" s="1" t="s">
        <v>135</v>
      </c>
      <c r="B890" s="2">
        <v>46099</v>
      </c>
      <c r="C890" s="1" t="s">
        <v>94</v>
      </c>
      <c r="D890" s="1" t="s">
        <v>34</v>
      </c>
      <c r="E890" s="1" t="s">
        <v>35</v>
      </c>
      <c r="F890" s="1" t="s">
        <v>28</v>
      </c>
      <c r="G890" s="1" t="s">
        <v>96</v>
      </c>
      <c r="H890" s="1" t="s">
        <v>74</v>
      </c>
      <c r="I890">
        <v>5</v>
      </c>
      <c r="J890">
        <v>120</v>
      </c>
      <c r="K890">
        <v>0</v>
      </c>
      <c r="L890">
        <v>600</v>
      </c>
      <c r="M890" s="1" t="s">
        <v>33</v>
      </c>
    </row>
    <row r="891" spans="1:13" x14ac:dyDescent="0.3">
      <c r="A891" s="1" t="s">
        <v>135</v>
      </c>
      <c r="B891" s="2">
        <v>46110</v>
      </c>
      <c r="C891" s="1" t="s">
        <v>94</v>
      </c>
      <c r="D891" s="1" t="s">
        <v>47</v>
      </c>
      <c r="E891" s="1" t="s">
        <v>48</v>
      </c>
      <c r="F891" s="1" t="s">
        <v>45</v>
      </c>
      <c r="G891" s="1" t="s">
        <v>95</v>
      </c>
      <c r="H891" s="1" t="s">
        <v>82</v>
      </c>
      <c r="I891">
        <v>1</v>
      </c>
      <c r="J891">
        <v>85</v>
      </c>
      <c r="K891">
        <v>0</v>
      </c>
      <c r="L891">
        <v>85</v>
      </c>
      <c r="M891" s="1" t="s">
        <v>20</v>
      </c>
    </row>
    <row r="892" spans="1:13" x14ac:dyDescent="0.3">
      <c r="A892" s="1" t="s">
        <v>135</v>
      </c>
      <c r="B892" s="2">
        <v>46096</v>
      </c>
      <c r="C892" s="1" t="s">
        <v>94</v>
      </c>
      <c r="D892" s="1" t="s">
        <v>21</v>
      </c>
      <c r="E892" s="1" t="s">
        <v>22</v>
      </c>
      <c r="F892" s="1" t="s">
        <v>23</v>
      </c>
      <c r="G892" s="1" t="s">
        <v>95</v>
      </c>
      <c r="H892" s="1" t="s">
        <v>79</v>
      </c>
      <c r="I892">
        <v>5</v>
      </c>
      <c r="J892">
        <v>220</v>
      </c>
      <c r="K892">
        <v>0</v>
      </c>
      <c r="L892">
        <v>1100</v>
      </c>
      <c r="M892" s="1" t="s">
        <v>20</v>
      </c>
    </row>
    <row r="893" spans="1:13" x14ac:dyDescent="0.3">
      <c r="A893" s="1" t="s">
        <v>135</v>
      </c>
      <c r="B893" s="2">
        <v>46082</v>
      </c>
      <c r="C893" s="1" t="s">
        <v>94</v>
      </c>
      <c r="D893" s="1" t="s">
        <v>43</v>
      </c>
      <c r="E893" s="1" t="s">
        <v>44</v>
      </c>
      <c r="F893" s="1" t="s">
        <v>45</v>
      </c>
      <c r="G893" s="1" t="s">
        <v>96</v>
      </c>
      <c r="H893" s="1" t="s">
        <v>75</v>
      </c>
      <c r="I893">
        <v>3</v>
      </c>
      <c r="J893">
        <v>140</v>
      </c>
      <c r="K893">
        <v>0.1</v>
      </c>
      <c r="L893">
        <v>378</v>
      </c>
      <c r="M893" s="1" t="s">
        <v>37</v>
      </c>
    </row>
    <row r="894" spans="1:13" x14ac:dyDescent="0.3">
      <c r="A894" s="1" t="s">
        <v>135</v>
      </c>
      <c r="B894" s="2">
        <v>46104</v>
      </c>
      <c r="C894" s="1" t="s">
        <v>94</v>
      </c>
      <c r="D894" s="1" t="s">
        <v>21</v>
      </c>
      <c r="E894" s="1" t="s">
        <v>22</v>
      </c>
      <c r="F894" s="1" t="s">
        <v>23</v>
      </c>
      <c r="G894" s="1" t="s">
        <v>95</v>
      </c>
      <c r="H894" s="1" t="s">
        <v>42</v>
      </c>
      <c r="I894">
        <v>4</v>
      </c>
      <c r="J894">
        <v>220</v>
      </c>
      <c r="K894">
        <v>0</v>
      </c>
      <c r="L894">
        <v>880</v>
      </c>
      <c r="M894" s="1" t="s">
        <v>25</v>
      </c>
    </row>
    <row r="895" spans="1:13" x14ac:dyDescent="0.3">
      <c r="A895" s="1" t="s">
        <v>135</v>
      </c>
      <c r="B895" s="2">
        <v>46099</v>
      </c>
      <c r="C895" s="1" t="s">
        <v>94</v>
      </c>
      <c r="D895" s="1" t="s">
        <v>21</v>
      </c>
      <c r="E895" s="1" t="s">
        <v>22</v>
      </c>
      <c r="F895" s="1" t="s">
        <v>23</v>
      </c>
      <c r="G895" s="1" t="s">
        <v>95</v>
      </c>
      <c r="H895" s="1" t="s">
        <v>68</v>
      </c>
      <c r="I895">
        <v>5</v>
      </c>
      <c r="J895">
        <v>220</v>
      </c>
      <c r="K895">
        <v>0.15</v>
      </c>
      <c r="L895">
        <v>935</v>
      </c>
      <c r="M895" s="1" t="s">
        <v>20</v>
      </c>
    </row>
    <row r="896" spans="1:13" x14ac:dyDescent="0.3">
      <c r="A896" s="1" t="s">
        <v>135</v>
      </c>
      <c r="B896" s="2">
        <v>46082</v>
      </c>
      <c r="C896" s="1" t="s">
        <v>94</v>
      </c>
      <c r="D896" s="1" t="s">
        <v>34</v>
      </c>
      <c r="E896" s="1" t="s">
        <v>35</v>
      </c>
      <c r="F896" s="1" t="s">
        <v>28</v>
      </c>
      <c r="G896" s="1" t="s">
        <v>96</v>
      </c>
      <c r="H896" s="1" t="s">
        <v>46</v>
      </c>
      <c r="I896">
        <v>4</v>
      </c>
      <c r="J896">
        <v>120</v>
      </c>
      <c r="K896">
        <v>0.05</v>
      </c>
      <c r="L896">
        <v>456</v>
      </c>
      <c r="M896" s="1" t="s">
        <v>20</v>
      </c>
    </row>
    <row r="897" spans="1:13" x14ac:dyDescent="0.3">
      <c r="A897" s="1" t="s">
        <v>135</v>
      </c>
      <c r="B897" s="2">
        <v>46083</v>
      </c>
      <c r="C897" s="1" t="s">
        <v>94</v>
      </c>
      <c r="D897" s="1" t="s">
        <v>26</v>
      </c>
      <c r="E897" s="1" t="s">
        <v>27</v>
      </c>
      <c r="F897" s="1" t="s">
        <v>28</v>
      </c>
      <c r="G897" s="1" t="s">
        <v>96</v>
      </c>
      <c r="H897" s="1" t="s">
        <v>81</v>
      </c>
      <c r="I897">
        <v>5</v>
      </c>
      <c r="J897">
        <v>180</v>
      </c>
      <c r="K897">
        <v>0</v>
      </c>
      <c r="L897">
        <v>900</v>
      </c>
      <c r="M897" s="1" t="s">
        <v>25</v>
      </c>
    </row>
    <row r="898" spans="1:13" x14ac:dyDescent="0.3">
      <c r="A898" s="1" t="s">
        <v>135</v>
      </c>
      <c r="B898" s="2">
        <v>46092</v>
      </c>
      <c r="C898" s="1" t="s">
        <v>94</v>
      </c>
      <c r="D898" s="1" t="s">
        <v>57</v>
      </c>
      <c r="E898" s="1" t="s">
        <v>58</v>
      </c>
      <c r="F898" s="1" t="s">
        <v>17</v>
      </c>
      <c r="G898" s="1" t="s">
        <v>96</v>
      </c>
      <c r="H898" s="1" t="s">
        <v>19</v>
      </c>
      <c r="I898">
        <v>3</v>
      </c>
      <c r="J898">
        <v>45</v>
      </c>
      <c r="K898">
        <v>0</v>
      </c>
      <c r="L898">
        <v>135</v>
      </c>
      <c r="M898" s="1" t="s">
        <v>37</v>
      </c>
    </row>
    <row r="899" spans="1:13" x14ac:dyDescent="0.3">
      <c r="A899" s="1" t="s">
        <v>135</v>
      </c>
      <c r="B899" s="2">
        <v>46103</v>
      </c>
      <c r="C899" s="1" t="s">
        <v>94</v>
      </c>
      <c r="D899" s="1" t="s">
        <v>65</v>
      </c>
      <c r="E899" s="1" t="s">
        <v>66</v>
      </c>
      <c r="F899" s="1" t="s">
        <v>40</v>
      </c>
      <c r="G899" s="1" t="s">
        <v>95</v>
      </c>
      <c r="H899" s="1" t="s">
        <v>64</v>
      </c>
      <c r="I899">
        <v>5</v>
      </c>
      <c r="J899">
        <v>210</v>
      </c>
      <c r="K899">
        <v>0.1</v>
      </c>
      <c r="L899">
        <v>945</v>
      </c>
      <c r="M899" s="1" t="s">
        <v>33</v>
      </c>
    </row>
    <row r="900" spans="1:13" x14ac:dyDescent="0.3">
      <c r="A900" s="1" t="s">
        <v>135</v>
      </c>
      <c r="B900" s="2">
        <v>46092</v>
      </c>
      <c r="C900" s="1" t="s">
        <v>94</v>
      </c>
      <c r="D900" s="1" t="s">
        <v>61</v>
      </c>
      <c r="E900" s="1" t="s">
        <v>62</v>
      </c>
      <c r="F900" s="1" t="s">
        <v>40</v>
      </c>
      <c r="G900" s="1" t="s">
        <v>96</v>
      </c>
      <c r="H900" s="1" t="s">
        <v>51</v>
      </c>
      <c r="I900">
        <v>3</v>
      </c>
      <c r="J900">
        <v>160</v>
      </c>
      <c r="K900">
        <v>0.1</v>
      </c>
      <c r="L900">
        <v>432</v>
      </c>
      <c r="M900" s="1" t="s">
        <v>33</v>
      </c>
    </row>
    <row r="901" spans="1:13" x14ac:dyDescent="0.3">
      <c r="A901" s="1" t="s">
        <v>135</v>
      </c>
      <c r="B901" s="2">
        <v>46091</v>
      </c>
      <c r="C901" s="1" t="s">
        <v>94</v>
      </c>
      <c r="D901" s="1" t="s">
        <v>38</v>
      </c>
      <c r="E901" s="1" t="s">
        <v>39</v>
      </c>
      <c r="F901" s="1" t="s">
        <v>40</v>
      </c>
      <c r="G901" s="1" t="s">
        <v>95</v>
      </c>
      <c r="H901" s="1" t="s">
        <v>68</v>
      </c>
      <c r="I901">
        <v>2</v>
      </c>
      <c r="J901">
        <v>55</v>
      </c>
      <c r="K901">
        <v>0.1</v>
      </c>
      <c r="L901">
        <v>99</v>
      </c>
      <c r="M901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CFF-D083-45C1-BA0E-BA77759D96D5}">
  <dimension ref="A1:B18"/>
  <sheetViews>
    <sheetView workbookViewId="0">
      <selection activeCell="B13" sqref="B13"/>
    </sheetView>
  </sheetViews>
  <sheetFormatPr baseColWidth="10" defaultRowHeight="14.4" x14ac:dyDescent="0.3"/>
  <cols>
    <col min="1" max="1" width="36.88671875" customWidth="1"/>
    <col min="2" max="2" width="40.6640625" customWidth="1"/>
  </cols>
  <sheetData>
    <row r="1" spans="1:2" x14ac:dyDescent="0.3">
      <c r="A1" t="s">
        <v>98</v>
      </c>
    </row>
    <row r="2" spans="1:2" ht="16.2" customHeight="1" x14ac:dyDescent="0.3">
      <c r="A2" s="3"/>
      <c r="B2" s="3"/>
    </row>
    <row r="3" spans="1:2" ht="17.399999999999999" customHeight="1" x14ac:dyDescent="0.3">
      <c r="A3" t="s">
        <v>99</v>
      </c>
      <c r="B3" s="3" t="s">
        <v>100</v>
      </c>
    </row>
    <row r="4" spans="1:2" ht="19.2" customHeight="1" x14ac:dyDescent="0.3">
      <c r="A4" t="s">
        <v>101</v>
      </c>
      <c r="B4" t="s">
        <v>102</v>
      </c>
    </row>
    <row r="5" spans="1:2" ht="16.2" customHeight="1" x14ac:dyDescent="0.3">
      <c r="A5" s="3" t="s">
        <v>103</v>
      </c>
      <c r="B5" s="3" t="s">
        <v>137</v>
      </c>
    </row>
    <row r="6" spans="1:2" ht="20.399999999999999" customHeight="1" x14ac:dyDescent="0.3">
      <c r="A6" s="3" t="s">
        <v>104</v>
      </c>
      <c r="B6" s="3" t="s">
        <v>105</v>
      </c>
    </row>
    <row r="7" spans="1:2" ht="21" customHeight="1" x14ac:dyDescent="0.3">
      <c r="A7" s="3" t="s">
        <v>106</v>
      </c>
      <c r="B7" t="s">
        <v>107</v>
      </c>
    </row>
    <row r="8" spans="1:2" ht="21.6" customHeight="1" x14ac:dyDescent="0.3">
      <c r="A8" t="s">
        <v>108</v>
      </c>
      <c r="B8" s="3" t="s">
        <v>109</v>
      </c>
    </row>
    <row r="9" spans="1:2" ht="16.8" customHeight="1" x14ac:dyDescent="0.3">
      <c r="A9" t="s">
        <v>110</v>
      </c>
      <c r="B9" s="3" t="s">
        <v>111</v>
      </c>
    </row>
    <row r="10" spans="1:2" ht="18" customHeight="1" x14ac:dyDescent="0.3">
      <c r="A10" t="s">
        <v>112</v>
      </c>
      <c r="B10" t="s">
        <v>138</v>
      </c>
    </row>
    <row r="11" spans="1:2" ht="18.600000000000001" customHeight="1" x14ac:dyDescent="0.3">
      <c r="A11" s="3"/>
      <c r="B11" s="3"/>
    </row>
    <row r="12" spans="1:2" ht="23.4" customHeight="1" x14ac:dyDescent="0.3">
      <c r="A12" s="3"/>
      <c r="B12" s="3"/>
    </row>
    <row r="13" spans="1:2" ht="19.2" customHeight="1" x14ac:dyDescent="0.3">
      <c r="A13" s="3"/>
      <c r="B13" s="3"/>
    </row>
    <row r="14" spans="1:2" ht="15" customHeight="1" x14ac:dyDescent="0.3">
      <c r="A14" s="3"/>
      <c r="B14" s="3"/>
    </row>
    <row r="15" spans="1:2" x14ac:dyDescent="0.3">
      <c r="A15" s="3"/>
      <c r="B15" s="3"/>
    </row>
    <row r="16" spans="1:2" ht="13.2" customHeight="1" x14ac:dyDescent="0.3">
      <c r="A16" s="3"/>
      <c r="B16" s="3"/>
    </row>
    <row r="17" spans="1:2" ht="14.4" customHeight="1" x14ac:dyDescent="0.3">
      <c r="A17" s="3"/>
      <c r="B17" s="3"/>
    </row>
    <row r="18" spans="1:2" x14ac:dyDescent="0.3">
      <c r="A18" s="3"/>
      <c r="B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DE6C-0377-4260-B583-EB2C5C3E3C0D}">
  <dimension ref="A2:H24"/>
  <sheetViews>
    <sheetView workbookViewId="0">
      <selection activeCell="A11" sqref="A11"/>
    </sheetView>
  </sheetViews>
  <sheetFormatPr baseColWidth="10" defaultRowHeight="14.4" x14ac:dyDescent="0.3"/>
  <cols>
    <col min="1" max="1" width="16.5546875" bestFit="1" customWidth="1"/>
    <col min="2" max="2" width="18.5546875" bestFit="1" customWidth="1"/>
    <col min="4" max="4" width="16.5546875" bestFit="1" customWidth="1"/>
    <col min="5" max="5" width="22.6640625" bestFit="1" customWidth="1"/>
    <col min="7" max="7" width="16.5546875" bestFit="1" customWidth="1"/>
    <col min="8" max="8" width="16.44140625" bestFit="1" customWidth="1"/>
  </cols>
  <sheetData>
    <row r="2" spans="1:8" x14ac:dyDescent="0.3">
      <c r="A2" s="6" t="s">
        <v>116</v>
      </c>
      <c r="D2" s="6" t="s">
        <v>117</v>
      </c>
      <c r="G2" s="6" t="s">
        <v>125</v>
      </c>
    </row>
    <row r="3" spans="1:8" x14ac:dyDescent="0.3">
      <c r="A3" s="4" t="s">
        <v>113</v>
      </c>
      <c r="B3" t="s">
        <v>115</v>
      </c>
      <c r="D3" s="4" t="s">
        <v>113</v>
      </c>
      <c r="E3" t="s">
        <v>115</v>
      </c>
      <c r="G3" s="4" t="s">
        <v>113</v>
      </c>
      <c r="H3" t="s">
        <v>126</v>
      </c>
    </row>
    <row r="4" spans="1:8" x14ac:dyDescent="0.3">
      <c r="A4" s="5" t="s">
        <v>14</v>
      </c>
      <c r="B4" s="7">
        <v>247827.75</v>
      </c>
      <c r="D4" s="5" t="s">
        <v>17</v>
      </c>
      <c r="E4" s="7">
        <v>44152</v>
      </c>
      <c r="G4" s="5" t="s">
        <v>17</v>
      </c>
      <c r="H4" s="1">
        <v>467</v>
      </c>
    </row>
    <row r="5" spans="1:8" x14ac:dyDescent="0.3">
      <c r="A5" s="5" t="s">
        <v>89</v>
      </c>
      <c r="B5" s="7">
        <v>298846.5</v>
      </c>
      <c r="D5" s="5" t="s">
        <v>45</v>
      </c>
      <c r="E5" s="7">
        <v>37941.5</v>
      </c>
      <c r="G5" s="5" t="s">
        <v>45</v>
      </c>
      <c r="H5" s="1">
        <v>479</v>
      </c>
    </row>
    <row r="6" spans="1:8" x14ac:dyDescent="0.3">
      <c r="A6" s="5" t="s">
        <v>94</v>
      </c>
      <c r="B6" s="7">
        <v>262059.25</v>
      </c>
      <c r="D6" s="5" t="s">
        <v>28</v>
      </c>
      <c r="E6" s="7">
        <v>62469.25</v>
      </c>
      <c r="G6" s="5" t="s">
        <v>28</v>
      </c>
      <c r="H6" s="1">
        <v>506</v>
      </c>
    </row>
    <row r="7" spans="1:8" x14ac:dyDescent="0.3">
      <c r="A7" s="5" t="s">
        <v>114</v>
      </c>
      <c r="B7" s="7">
        <v>808733.5</v>
      </c>
      <c r="D7" s="5" t="s">
        <v>40</v>
      </c>
      <c r="E7" s="7">
        <v>95759.75</v>
      </c>
      <c r="G7" s="5" t="s">
        <v>40</v>
      </c>
      <c r="H7" s="1">
        <v>697</v>
      </c>
    </row>
    <row r="8" spans="1:8" x14ac:dyDescent="0.3">
      <c r="D8" s="5" t="s">
        <v>23</v>
      </c>
      <c r="E8" s="7">
        <v>568411</v>
      </c>
      <c r="G8" s="5" t="s">
        <v>23</v>
      </c>
      <c r="H8" s="1">
        <v>640</v>
      </c>
    </row>
    <row r="9" spans="1:8" x14ac:dyDescent="0.3">
      <c r="D9" s="5" t="s">
        <v>114</v>
      </c>
      <c r="E9" s="7">
        <v>808733.5</v>
      </c>
      <c r="G9" s="5" t="s">
        <v>114</v>
      </c>
      <c r="H9" s="1">
        <v>2789</v>
      </c>
    </row>
    <row r="10" spans="1:8" x14ac:dyDescent="0.3">
      <c r="A10" s="6" t="s">
        <v>118</v>
      </c>
      <c r="D10" s="8" t="s">
        <v>119</v>
      </c>
    </row>
    <row r="11" spans="1:8" x14ac:dyDescent="0.3">
      <c r="A11" s="4" t="s">
        <v>113</v>
      </c>
      <c r="B11" t="s">
        <v>115</v>
      </c>
      <c r="D11" s="4" t="s">
        <v>113</v>
      </c>
      <c r="E11" t="s">
        <v>115</v>
      </c>
    </row>
    <row r="12" spans="1:8" x14ac:dyDescent="0.3">
      <c r="A12" s="5" t="s">
        <v>25</v>
      </c>
      <c r="B12" s="7">
        <v>185245.5</v>
      </c>
      <c r="D12" s="5" t="s">
        <v>90</v>
      </c>
      <c r="E12" s="7">
        <v>159178.75</v>
      </c>
    </row>
    <row r="13" spans="1:8" x14ac:dyDescent="0.3">
      <c r="A13" s="5" t="s">
        <v>33</v>
      </c>
      <c r="B13" s="7">
        <v>191292</v>
      </c>
      <c r="D13" s="5" t="s">
        <v>95</v>
      </c>
      <c r="E13" s="7">
        <v>147440.25</v>
      </c>
    </row>
    <row r="14" spans="1:8" x14ac:dyDescent="0.3">
      <c r="A14" s="5" t="s">
        <v>37</v>
      </c>
      <c r="B14" s="7">
        <v>210395.25</v>
      </c>
      <c r="D14" s="5" t="s">
        <v>96</v>
      </c>
      <c r="E14" s="7">
        <v>114619</v>
      </c>
    </row>
    <row r="15" spans="1:8" x14ac:dyDescent="0.3">
      <c r="A15" s="5" t="s">
        <v>20</v>
      </c>
      <c r="B15" s="7">
        <v>221800.75</v>
      </c>
      <c r="D15" s="5" t="s">
        <v>18</v>
      </c>
      <c r="E15" s="7">
        <v>91933.5</v>
      </c>
    </row>
    <row r="16" spans="1:8" x14ac:dyDescent="0.3">
      <c r="A16" s="5" t="s">
        <v>114</v>
      </c>
      <c r="B16" s="7">
        <v>808733.5</v>
      </c>
      <c r="D16" s="5" t="s">
        <v>91</v>
      </c>
      <c r="E16" s="7">
        <v>139667.75</v>
      </c>
    </row>
    <row r="17" spans="1:5" x14ac:dyDescent="0.3">
      <c r="D17" s="5" t="s">
        <v>41</v>
      </c>
      <c r="E17" s="7">
        <v>155894.25</v>
      </c>
    </row>
    <row r="18" spans="1:5" x14ac:dyDescent="0.3">
      <c r="D18" s="5" t="s">
        <v>114</v>
      </c>
      <c r="E18" s="7">
        <v>808733.5</v>
      </c>
    </row>
    <row r="19" spans="1:5" x14ac:dyDescent="0.3">
      <c r="A19" s="6" t="s">
        <v>122</v>
      </c>
      <c r="D19" s="8" t="s">
        <v>124</v>
      </c>
    </row>
    <row r="20" spans="1:5" x14ac:dyDescent="0.3">
      <c r="A20" s="4" t="s">
        <v>113</v>
      </c>
      <c r="B20" t="s">
        <v>115</v>
      </c>
      <c r="D20" s="4" t="s">
        <v>113</v>
      </c>
      <c r="E20" t="s">
        <v>123</v>
      </c>
    </row>
    <row r="21" spans="1:5" x14ac:dyDescent="0.3">
      <c r="A21" s="5" t="s">
        <v>120</v>
      </c>
      <c r="B21" s="7">
        <v>298979</v>
      </c>
      <c r="D21" s="5" t="s">
        <v>14</v>
      </c>
      <c r="E21" s="1">
        <v>300</v>
      </c>
    </row>
    <row r="22" spans="1:5" x14ac:dyDescent="0.3">
      <c r="A22" s="5" t="s">
        <v>121</v>
      </c>
      <c r="B22" s="7">
        <v>228846.25</v>
      </c>
      <c r="D22" s="5" t="s">
        <v>89</v>
      </c>
      <c r="E22" s="1">
        <v>300</v>
      </c>
    </row>
    <row r="23" spans="1:5" x14ac:dyDescent="0.3">
      <c r="A23" s="5" t="s">
        <v>136</v>
      </c>
      <c r="B23" s="7">
        <v>280908.25</v>
      </c>
      <c r="D23" s="5" t="s">
        <v>94</v>
      </c>
      <c r="E23" s="1">
        <v>300</v>
      </c>
    </row>
    <row r="24" spans="1:5" x14ac:dyDescent="0.3">
      <c r="A24" s="5" t="s">
        <v>114</v>
      </c>
      <c r="B24" s="7">
        <v>808733.5</v>
      </c>
      <c r="D24" s="5" t="s">
        <v>114</v>
      </c>
      <c r="E24" s="1">
        <v>900</v>
      </c>
    </row>
  </sheetData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4312-4C47-4776-95A5-922CEBD19F5C}">
  <dimension ref="A1:O48"/>
  <sheetViews>
    <sheetView showGridLines="0" tabSelected="1" zoomScale="85" zoomScaleNormal="85" workbookViewId="0">
      <selection sqref="A1:J1"/>
    </sheetView>
  </sheetViews>
  <sheetFormatPr baseColWidth="10" defaultColWidth="0" defaultRowHeight="14.4" zeroHeight="1" x14ac:dyDescent="0.3"/>
  <cols>
    <col min="1" max="1" width="30.5546875" customWidth="1"/>
    <col min="2" max="2" width="25.5546875" customWidth="1"/>
    <col min="3" max="3" width="17.44140625" customWidth="1"/>
    <col min="4" max="4" width="24.21875" customWidth="1"/>
    <col min="5" max="5" width="16.77734375" customWidth="1"/>
    <col min="6" max="6" width="14.33203125" customWidth="1"/>
    <col min="7" max="8" width="15.109375" customWidth="1"/>
    <col min="9" max="9" width="18.21875" customWidth="1"/>
    <col min="10" max="10" width="10.6640625" customWidth="1"/>
    <col min="11" max="11" width="4.6640625" hidden="1" customWidth="1"/>
    <col min="12" max="12" width="4.21875" hidden="1" customWidth="1"/>
    <col min="13" max="15" width="0" hidden="1" customWidth="1"/>
    <col min="16" max="16384" width="11.5546875" hidden="1"/>
  </cols>
  <sheetData>
    <row r="1" spans="1:15" ht="18.600000000000001" thickBot="1" x14ac:dyDescent="0.4">
      <c r="A1" s="18" t="s">
        <v>127</v>
      </c>
      <c r="B1" s="19"/>
      <c r="C1" s="19"/>
      <c r="D1" s="19"/>
      <c r="E1" s="19"/>
      <c r="F1" s="19"/>
      <c r="G1" s="19"/>
      <c r="H1" s="19"/>
      <c r="I1" s="19"/>
      <c r="J1" s="20"/>
      <c r="K1" s="9"/>
      <c r="L1" s="9"/>
      <c r="M1" s="9"/>
      <c r="N1" s="9"/>
      <c r="O1" s="9"/>
    </row>
    <row r="2" spans="1:15" ht="13.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21.6" customHeight="1" x14ac:dyDescent="0.3">
      <c r="A3" s="21" t="s">
        <v>128</v>
      </c>
      <c r="B3" s="22"/>
      <c r="C3" s="14" t="s">
        <v>129</v>
      </c>
      <c r="D3" s="15"/>
      <c r="E3" s="26" t="s">
        <v>130</v>
      </c>
      <c r="F3" s="15"/>
      <c r="G3" s="14" t="s">
        <v>131</v>
      </c>
      <c r="H3" s="15"/>
      <c r="I3" s="16" t="s">
        <v>132</v>
      </c>
      <c r="J3" s="16"/>
      <c r="K3" s="9"/>
      <c r="L3" s="9"/>
      <c r="M3" s="9"/>
      <c r="N3" s="9"/>
      <c r="O3" s="9"/>
    </row>
    <row r="4" spans="1:15" x14ac:dyDescent="0.3">
      <c r="A4" s="23">
        <f>SUM(tbl_ventas_limpias[Total Venta])</f>
        <v>808733.5</v>
      </c>
      <c r="B4" s="23"/>
      <c r="C4" s="24">
        <f>ROWS(tbl_ventas_limpias[Total Venta])</f>
        <v>900</v>
      </c>
      <c r="D4" s="25"/>
      <c r="E4" s="27">
        <f>SUM(tbl_ventas_limpias[Cantidad])</f>
        <v>2789</v>
      </c>
      <c r="F4" s="25"/>
      <c r="G4" s="12">
        <f>AVERAGE(tbl_ventas_limpias[Total Venta])</f>
        <v>898.59277777777777</v>
      </c>
      <c r="H4" s="13"/>
      <c r="I4" s="17">
        <f>AVERAGE(tbl_ventas_limpias[Descuento])</f>
        <v>3.3777777777777934E-2</v>
      </c>
      <c r="J4" s="17"/>
      <c r="K4" s="9"/>
      <c r="L4" s="9"/>
      <c r="M4" s="9"/>
      <c r="N4" s="9"/>
      <c r="O4" s="9"/>
    </row>
    <row r="5" spans="1:15" x14ac:dyDescent="0.3">
      <c r="A5" s="9"/>
      <c r="B5" s="9"/>
      <c r="C5" s="9"/>
      <c r="D5" s="9"/>
      <c r="E5" s="10"/>
      <c r="F5" s="11"/>
      <c r="G5" s="9"/>
      <c r="H5" s="9"/>
      <c r="I5" s="9"/>
      <c r="J5" s="9"/>
      <c r="K5" s="9"/>
      <c r="L5" s="9"/>
      <c r="M5" s="9"/>
      <c r="N5" s="9"/>
      <c r="O5" s="9"/>
    </row>
    <row r="6" spans="1:15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idden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idden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5" hidden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5" hidden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5" hidden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5" hidden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5" hidden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5" hidden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5" hidden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5" hidden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5" hidden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5" hidden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5" hidden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5" hidden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5" hidden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</sheetData>
  <mergeCells count="11">
    <mergeCell ref="G4:H4"/>
    <mergeCell ref="G3:H3"/>
    <mergeCell ref="I3:J3"/>
    <mergeCell ref="I4:J4"/>
    <mergeCell ref="A1:J1"/>
    <mergeCell ref="A3:B3"/>
    <mergeCell ref="A4:B4"/>
    <mergeCell ref="C3:D3"/>
    <mergeCell ref="C4:D4"/>
    <mergeCell ref="E3:F3"/>
    <mergeCell ref="E4:F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A0A0F-5F39-4370-8F15-396ED89D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Datos_Limpios</vt:lpstr>
      <vt:lpstr>Parametros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SUASNABAR, GASPAR</dc:creator>
  <cp:lastModifiedBy>ALEXIS SUASNABAR, GASPAR</cp:lastModifiedBy>
  <dcterms:created xsi:type="dcterms:W3CDTF">2026-04-24T20:35:39Z</dcterms:created>
  <dcterms:modified xsi:type="dcterms:W3CDTF">2026-04-25T00:03:15Z</dcterms:modified>
</cp:coreProperties>
</file>